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\Documents\MS office\financial modelling\"/>
    </mc:Choice>
  </mc:AlternateContent>
  <xr:revisionPtr revIDLastSave="0" documentId="13_ncr:1_{C1C8D861-8BF3-42CA-8224-123305C17DC1}" xr6:coauthVersionLast="47" xr6:coauthVersionMax="47" xr10:uidLastSave="{00000000-0000-0000-0000-000000000000}"/>
  <bookViews>
    <workbookView xWindow="-96" yWindow="0" windowWidth="11712" windowHeight="12336" tabRatio="823" activeTab="2" xr2:uid="{F4F91F4C-6146-413C-B5CA-75AE52639B8F}"/>
  </bookViews>
  <sheets>
    <sheet name="HistoricalFS" sheetId="1" r:id="rId1"/>
    <sheet name="Ratio Analysis" sheetId="5" r:id="rId2"/>
    <sheet name="Common Size Statement" sheetId="6" r:id="rId3"/>
    <sheet name="Data Sheet" sheetId="4" r:id="rId4"/>
  </sheets>
  <externalReferences>
    <externalReference r:id="rId5"/>
  </externalReferences>
  <definedNames>
    <definedName name="UPDATE" localSheetId="3">'Data Sheet'!$E$1</definedName>
    <definedName name="UP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6" l="1"/>
  <c r="E26" i="6"/>
  <c r="F26" i="6"/>
  <c r="G26" i="6"/>
  <c r="H26" i="6"/>
  <c r="I26" i="6"/>
  <c r="J26" i="6"/>
  <c r="K26" i="6"/>
  <c r="L26" i="6"/>
  <c r="C26" i="6"/>
  <c r="D27" i="6"/>
  <c r="E27" i="6"/>
  <c r="F27" i="6"/>
  <c r="G27" i="6"/>
  <c r="H27" i="6"/>
  <c r="I27" i="6"/>
  <c r="J27" i="6"/>
  <c r="K27" i="6"/>
  <c r="L27" i="6"/>
  <c r="D28" i="6"/>
  <c r="E28" i="6"/>
  <c r="F28" i="6"/>
  <c r="G28" i="6"/>
  <c r="H28" i="6"/>
  <c r="I28" i="6"/>
  <c r="J28" i="6"/>
  <c r="K28" i="6"/>
  <c r="L28" i="6"/>
  <c r="D29" i="6"/>
  <c r="E29" i="6"/>
  <c r="F29" i="6"/>
  <c r="G29" i="6"/>
  <c r="H29" i="6"/>
  <c r="I29" i="6"/>
  <c r="J29" i="6"/>
  <c r="K29" i="6"/>
  <c r="L29" i="6"/>
  <c r="D30" i="6"/>
  <c r="E30" i="6"/>
  <c r="F30" i="6"/>
  <c r="G30" i="6"/>
  <c r="H30" i="6"/>
  <c r="I30" i="6"/>
  <c r="J30" i="6"/>
  <c r="K30" i="6"/>
  <c r="L30" i="6"/>
  <c r="D31" i="6"/>
  <c r="E31" i="6"/>
  <c r="F31" i="6"/>
  <c r="G31" i="6"/>
  <c r="H31" i="6"/>
  <c r="I31" i="6"/>
  <c r="J31" i="6"/>
  <c r="K31" i="6"/>
  <c r="L31" i="6"/>
  <c r="D32" i="6"/>
  <c r="E32" i="6"/>
  <c r="F32" i="6"/>
  <c r="G32" i="6"/>
  <c r="H32" i="6"/>
  <c r="I32" i="6"/>
  <c r="J32" i="6"/>
  <c r="K32" i="6"/>
  <c r="L32" i="6"/>
  <c r="D33" i="6"/>
  <c r="E33" i="6"/>
  <c r="F33" i="6"/>
  <c r="G33" i="6"/>
  <c r="H33" i="6"/>
  <c r="I33" i="6"/>
  <c r="J33" i="6"/>
  <c r="K33" i="6"/>
  <c r="L33" i="6"/>
  <c r="D34" i="6"/>
  <c r="E34" i="6"/>
  <c r="F34" i="6"/>
  <c r="G34" i="6"/>
  <c r="H34" i="6"/>
  <c r="I34" i="6"/>
  <c r="J34" i="6"/>
  <c r="K34" i="6"/>
  <c r="L34" i="6"/>
  <c r="D35" i="6"/>
  <c r="E35" i="6"/>
  <c r="F35" i="6"/>
  <c r="G35" i="6"/>
  <c r="H35" i="6"/>
  <c r="I35" i="6"/>
  <c r="J35" i="6"/>
  <c r="K35" i="6"/>
  <c r="L35" i="6"/>
  <c r="C31" i="6"/>
  <c r="C32" i="6"/>
  <c r="C33" i="6"/>
  <c r="C34" i="6"/>
  <c r="C30" i="6"/>
  <c r="C27" i="6"/>
  <c r="C28" i="6"/>
  <c r="C29" i="6"/>
  <c r="C35" i="6"/>
  <c r="D19" i="6"/>
  <c r="E19" i="6"/>
  <c r="F19" i="6"/>
  <c r="G19" i="6"/>
  <c r="H19" i="6"/>
  <c r="I19" i="6"/>
  <c r="J19" i="6"/>
  <c r="K19" i="6"/>
  <c r="L19" i="6"/>
  <c r="D20" i="6"/>
  <c r="E20" i="6"/>
  <c r="F20" i="6"/>
  <c r="G20" i="6"/>
  <c r="H20" i="6"/>
  <c r="I20" i="6"/>
  <c r="J20" i="6"/>
  <c r="K20" i="6"/>
  <c r="L20" i="6"/>
  <c r="D21" i="6"/>
  <c r="E21" i="6"/>
  <c r="F21" i="6"/>
  <c r="G21" i="6"/>
  <c r="H21" i="6"/>
  <c r="I21" i="6"/>
  <c r="J21" i="6"/>
  <c r="K21" i="6"/>
  <c r="L21" i="6"/>
  <c r="D22" i="6"/>
  <c r="E22" i="6"/>
  <c r="F22" i="6"/>
  <c r="G22" i="6"/>
  <c r="H22" i="6"/>
  <c r="I22" i="6"/>
  <c r="J22" i="6"/>
  <c r="K22" i="6"/>
  <c r="L22" i="6"/>
  <c r="D23" i="6"/>
  <c r="E23" i="6"/>
  <c r="F23" i="6"/>
  <c r="G23" i="6"/>
  <c r="H23" i="6"/>
  <c r="I23" i="6"/>
  <c r="J23" i="6"/>
  <c r="K23" i="6"/>
  <c r="L23" i="6"/>
  <c r="C20" i="6"/>
  <c r="C21" i="6"/>
  <c r="C22" i="6"/>
  <c r="C23" i="6"/>
  <c r="C19" i="6"/>
  <c r="D5" i="6"/>
  <c r="E5" i="6"/>
  <c r="F5" i="6"/>
  <c r="G5" i="6"/>
  <c r="H5" i="6"/>
  <c r="I5" i="6"/>
  <c r="J5" i="6"/>
  <c r="K5" i="6"/>
  <c r="L5" i="6"/>
  <c r="C5" i="6"/>
  <c r="O50" i="5"/>
  <c r="O49" i="5"/>
  <c r="O48" i="5"/>
  <c r="O56" i="5"/>
  <c r="O55" i="5"/>
  <c r="O54" i="5"/>
  <c r="O53" i="5"/>
  <c r="O60" i="5"/>
  <c r="O61" i="5"/>
  <c r="O59" i="5"/>
  <c r="O43" i="5"/>
  <c r="O44" i="5"/>
  <c r="O45" i="5"/>
  <c r="O42" i="5"/>
  <c r="O36" i="5"/>
  <c r="O37" i="5"/>
  <c r="O38" i="5"/>
  <c r="O39" i="5"/>
  <c r="O35" i="5"/>
  <c r="O32" i="5"/>
  <c r="O31" i="5"/>
  <c r="O30" i="5"/>
  <c r="O29" i="5"/>
  <c r="O28" i="5"/>
  <c r="O21" i="5"/>
  <c r="O22" i="5"/>
  <c r="O23" i="5"/>
  <c r="O24" i="5"/>
  <c r="O25" i="5"/>
  <c r="O20" i="5"/>
  <c r="O14" i="5"/>
  <c r="O15" i="5"/>
  <c r="O16" i="5"/>
  <c r="O17" i="5"/>
  <c r="O13" i="5"/>
  <c r="O6" i="5"/>
  <c r="O7" i="5"/>
  <c r="O8" i="5"/>
  <c r="O9" i="5"/>
  <c r="O10" i="5"/>
  <c r="O5" i="5"/>
  <c r="N61" i="5"/>
  <c r="N60" i="5"/>
  <c r="N59" i="5"/>
  <c r="N56" i="5"/>
  <c r="N55" i="5"/>
  <c r="N54" i="5"/>
  <c r="N53" i="5"/>
  <c r="N50" i="5"/>
  <c r="N49" i="5"/>
  <c r="N48" i="5"/>
  <c r="N45" i="5"/>
  <c r="N44" i="5"/>
  <c r="N43" i="5"/>
  <c r="N42" i="5"/>
  <c r="N39" i="5"/>
  <c r="N38" i="5"/>
  <c r="N37" i="5"/>
  <c r="N36" i="5"/>
  <c r="N35" i="5"/>
  <c r="N32" i="5"/>
  <c r="N31" i="5"/>
  <c r="N30" i="5"/>
  <c r="N29" i="5"/>
  <c r="N28" i="5"/>
  <c r="N25" i="5"/>
  <c r="N24" i="5"/>
  <c r="N23" i="5"/>
  <c r="N22" i="5"/>
  <c r="N21" i="5"/>
  <c r="N20" i="5"/>
  <c r="N14" i="5"/>
  <c r="N15" i="5"/>
  <c r="N16" i="5"/>
  <c r="N17" i="5"/>
  <c r="N13" i="5"/>
  <c r="N6" i="5"/>
  <c r="N7" i="5"/>
  <c r="N8" i="5"/>
  <c r="N9" i="5"/>
  <c r="N10" i="5"/>
  <c r="N5" i="5"/>
  <c r="D37" i="5"/>
  <c r="E37" i="5"/>
  <c r="F37" i="5"/>
  <c r="G37" i="5"/>
  <c r="H37" i="5"/>
  <c r="I37" i="5"/>
  <c r="J37" i="5"/>
  <c r="K37" i="5"/>
  <c r="L37" i="5"/>
  <c r="C37" i="5"/>
  <c r="D44" i="5"/>
  <c r="L44" i="5"/>
  <c r="L45" i="5" s="1"/>
  <c r="D36" i="5"/>
  <c r="E36" i="5"/>
  <c r="F36" i="5"/>
  <c r="G36" i="5"/>
  <c r="H36" i="5"/>
  <c r="I36" i="5"/>
  <c r="J36" i="5"/>
  <c r="K36" i="5"/>
  <c r="L36" i="5"/>
  <c r="C36" i="5"/>
  <c r="C43" i="5"/>
  <c r="D38" i="5"/>
  <c r="E38" i="5"/>
  <c r="F38" i="5"/>
  <c r="G38" i="5"/>
  <c r="H38" i="5"/>
  <c r="I38" i="5"/>
  <c r="J38" i="5"/>
  <c r="K38" i="5"/>
  <c r="L38" i="5"/>
  <c r="C38" i="5"/>
  <c r="H44" i="5"/>
  <c r="D42" i="5"/>
  <c r="E42" i="5"/>
  <c r="F42" i="5"/>
  <c r="G42" i="5"/>
  <c r="H42" i="5"/>
  <c r="I42" i="5"/>
  <c r="J42" i="5"/>
  <c r="K42" i="5"/>
  <c r="L42" i="5"/>
  <c r="D43" i="5"/>
  <c r="E43" i="5"/>
  <c r="F43" i="5"/>
  <c r="G43" i="5"/>
  <c r="H43" i="5"/>
  <c r="I43" i="5"/>
  <c r="J43" i="5"/>
  <c r="K43" i="5"/>
  <c r="L43" i="5"/>
  <c r="E44" i="5"/>
  <c r="F44" i="5"/>
  <c r="G44" i="5"/>
  <c r="G45" i="5" s="1"/>
  <c r="I44" i="5"/>
  <c r="J44" i="5"/>
  <c r="K44" i="5"/>
  <c r="E45" i="5"/>
  <c r="F45" i="5"/>
  <c r="I45" i="5"/>
  <c r="J45" i="5"/>
  <c r="K45" i="5"/>
  <c r="C44" i="5"/>
  <c r="C42" i="5"/>
  <c r="D39" i="5"/>
  <c r="E39" i="5"/>
  <c r="F39" i="5"/>
  <c r="G39" i="5"/>
  <c r="H39" i="5"/>
  <c r="I39" i="5"/>
  <c r="J39" i="5"/>
  <c r="K39" i="5"/>
  <c r="L39" i="5"/>
  <c r="C39" i="5"/>
  <c r="D35" i="5"/>
  <c r="E35" i="5"/>
  <c r="F35" i="5"/>
  <c r="G35" i="5"/>
  <c r="H35" i="5"/>
  <c r="I35" i="5"/>
  <c r="J35" i="5"/>
  <c r="K35" i="5"/>
  <c r="L35" i="5"/>
  <c r="C35" i="5"/>
  <c r="F50" i="5"/>
  <c r="C48" i="5"/>
  <c r="D48" i="5"/>
  <c r="E48" i="5"/>
  <c r="F48" i="5"/>
  <c r="G48" i="5"/>
  <c r="H48" i="5"/>
  <c r="I48" i="5"/>
  <c r="J48" i="5"/>
  <c r="K48" i="5"/>
  <c r="L48" i="5"/>
  <c r="D49" i="5"/>
  <c r="E49" i="5"/>
  <c r="F49" i="5"/>
  <c r="G49" i="5"/>
  <c r="H49" i="5"/>
  <c r="I49" i="5"/>
  <c r="J49" i="5"/>
  <c r="K49" i="5"/>
  <c r="L49" i="5"/>
  <c r="C49" i="5"/>
  <c r="D9" i="5"/>
  <c r="E9" i="5"/>
  <c r="F9" i="5"/>
  <c r="G9" i="5"/>
  <c r="H9" i="5"/>
  <c r="I9" i="5"/>
  <c r="J9" i="5"/>
  <c r="K9" i="5"/>
  <c r="L9" i="5"/>
  <c r="D59" i="5"/>
  <c r="D61" i="5" s="1"/>
  <c r="D60" i="5"/>
  <c r="E60" i="5"/>
  <c r="F60" i="5"/>
  <c r="G60" i="5"/>
  <c r="H60" i="5"/>
  <c r="I60" i="5"/>
  <c r="J60" i="5"/>
  <c r="K60" i="5"/>
  <c r="L60" i="5"/>
  <c r="C60" i="5"/>
  <c r="E59" i="5"/>
  <c r="E61" i="5" s="1"/>
  <c r="F59" i="5"/>
  <c r="F61" i="5" s="1"/>
  <c r="G59" i="5"/>
  <c r="G61" i="5" s="1"/>
  <c r="H59" i="5"/>
  <c r="H61" i="5" s="1"/>
  <c r="I59" i="5"/>
  <c r="I61" i="5" s="1"/>
  <c r="J59" i="5"/>
  <c r="J61" i="5" s="1"/>
  <c r="K59" i="5"/>
  <c r="K61" i="5" s="1"/>
  <c r="L59" i="5"/>
  <c r="L61" i="5" s="1"/>
  <c r="C59" i="5"/>
  <c r="D54" i="5"/>
  <c r="E54" i="5"/>
  <c r="F54" i="5"/>
  <c r="G54" i="5"/>
  <c r="H54" i="5"/>
  <c r="I54" i="5"/>
  <c r="J54" i="5"/>
  <c r="K54" i="5"/>
  <c r="L54" i="5"/>
  <c r="D28" i="5"/>
  <c r="E28" i="5"/>
  <c r="F28" i="5"/>
  <c r="G28" i="5"/>
  <c r="H28" i="5"/>
  <c r="I28" i="5"/>
  <c r="J28" i="5"/>
  <c r="K28" i="5"/>
  <c r="L28" i="5"/>
  <c r="C28" i="5"/>
  <c r="D30" i="5"/>
  <c r="E30" i="5"/>
  <c r="F30" i="5"/>
  <c r="G30" i="5"/>
  <c r="H30" i="5"/>
  <c r="I30" i="5"/>
  <c r="J30" i="5"/>
  <c r="K30" i="5"/>
  <c r="L30" i="5"/>
  <c r="D31" i="5"/>
  <c r="E31" i="5"/>
  <c r="F31" i="5"/>
  <c r="G31" i="5"/>
  <c r="H31" i="5"/>
  <c r="I31" i="5"/>
  <c r="J31" i="5"/>
  <c r="K31" i="5"/>
  <c r="L31" i="5"/>
  <c r="C31" i="5"/>
  <c r="D22" i="5"/>
  <c r="E22" i="5"/>
  <c r="F22" i="5"/>
  <c r="G22" i="5"/>
  <c r="H22" i="5"/>
  <c r="I22" i="5"/>
  <c r="J22" i="5"/>
  <c r="K22" i="5"/>
  <c r="L22" i="5"/>
  <c r="C22" i="5"/>
  <c r="C20" i="5"/>
  <c r="C30" i="5"/>
  <c r="D29" i="5"/>
  <c r="E29" i="5"/>
  <c r="F29" i="5"/>
  <c r="G29" i="5"/>
  <c r="H29" i="5"/>
  <c r="I29" i="5"/>
  <c r="J29" i="5"/>
  <c r="K29" i="5"/>
  <c r="L29" i="5"/>
  <c r="D25" i="5"/>
  <c r="E25" i="5"/>
  <c r="F25" i="5"/>
  <c r="G25" i="5"/>
  <c r="H25" i="5"/>
  <c r="I25" i="5"/>
  <c r="J25" i="5"/>
  <c r="K25" i="5"/>
  <c r="L25" i="5"/>
  <c r="G32" i="5"/>
  <c r="L32" i="5"/>
  <c r="C25" i="5"/>
  <c r="C29" i="5"/>
  <c r="C32" i="5" s="1"/>
  <c r="D56" i="5"/>
  <c r="E56" i="5"/>
  <c r="F56" i="5"/>
  <c r="G56" i="5"/>
  <c r="H56" i="5"/>
  <c r="I56" i="5"/>
  <c r="J56" i="5"/>
  <c r="K56" i="5"/>
  <c r="L56" i="5"/>
  <c r="C56" i="5"/>
  <c r="D55" i="5"/>
  <c r="E55" i="5"/>
  <c r="F55" i="5"/>
  <c r="G55" i="5"/>
  <c r="H55" i="5"/>
  <c r="I55" i="5"/>
  <c r="J55" i="5"/>
  <c r="K55" i="5"/>
  <c r="L55" i="5"/>
  <c r="C55" i="5"/>
  <c r="C54" i="5"/>
  <c r="D53" i="5"/>
  <c r="E53" i="5"/>
  <c r="F53" i="5"/>
  <c r="G53" i="5"/>
  <c r="H53" i="5"/>
  <c r="I53" i="5"/>
  <c r="J53" i="5"/>
  <c r="K53" i="5"/>
  <c r="L53" i="5"/>
  <c r="C53" i="5"/>
  <c r="K50" i="5"/>
  <c r="J50" i="5"/>
  <c r="I50" i="5"/>
  <c r="H50" i="5"/>
  <c r="G50" i="5"/>
  <c r="E50" i="5"/>
  <c r="D50" i="5"/>
  <c r="C50" i="5"/>
  <c r="L50" i="5"/>
  <c r="D24" i="5"/>
  <c r="E24" i="5"/>
  <c r="F24" i="5"/>
  <c r="G24" i="5"/>
  <c r="H24" i="5"/>
  <c r="I24" i="5"/>
  <c r="J24" i="5"/>
  <c r="K24" i="5"/>
  <c r="L24" i="5"/>
  <c r="C24" i="5"/>
  <c r="D23" i="5"/>
  <c r="E23" i="5"/>
  <c r="F23" i="5"/>
  <c r="G23" i="5"/>
  <c r="H23" i="5"/>
  <c r="I23" i="5"/>
  <c r="J23" i="5"/>
  <c r="K23" i="5"/>
  <c r="L23" i="5"/>
  <c r="C23" i="5"/>
  <c r="D21" i="5"/>
  <c r="E21" i="5"/>
  <c r="F21" i="5"/>
  <c r="G21" i="5"/>
  <c r="H21" i="5"/>
  <c r="I21" i="5"/>
  <c r="J21" i="5"/>
  <c r="K21" i="5"/>
  <c r="L21" i="5"/>
  <c r="C21" i="5"/>
  <c r="D20" i="5"/>
  <c r="E20" i="5"/>
  <c r="F20" i="5"/>
  <c r="G20" i="5"/>
  <c r="H20" i="5"/>
  <c r="I20" i="5"/>
  <c r="J20" i="5"/>
  <c r="K20" i="5"/>
  <c r="L20" i="5"/>
  <c r="D16" i="5"/>
  <c r="E16" i="5"/>
  <c r="F16" i="5"/>
  <c r="G16" i="5"/>
  <c r="H16" i="5"/>
  <c r="I16" i="5"/>
  <c r="J16" i="5"/>
  <c r="K16" i="5"/>
  <c r="L16" i="5"/>
  <c r="C16" i="5"/>
  <c r="D17" i="5"/>
  <c r="E17" i="5"/>
  <c r="F17" i="5"/>
  <c r="G17" i="5"/>
  <c r="H17" i="5"/>
  <c r="I17" i="5"/>
  <c r="J17" i="5"/>
  <c r="K17" i="5"/>
  <c r="L17" i="5"/>
  <c r="C17" i="5"/>
  <c r="L14" i="5"/>
  <c r="L13" i="5"/>
  <c r="D15" i="5"/>
  <c r="E15" i="5"/>
  <c r="F15" i="5"/>
  <c r="G15" i="5"/>
  <c r="H15" i="5"/>
  <c r="I15" i="5"/>
  <c r="J15" i="5"/>
  <c r="K15" i="5"/>
  <c r="L15" i="5"/>
  <c r="C15" i="5"/>
  <c r="D14" i="5"/>
  <c r="E14" i="5"/>
  <c r="F14" i="5"/>
  <c r="G14" i="5"/>
  <c r="H14" i="5"/>
  <c r="I14" i="5"/>
  <c r="J14" i="5"/>
  <c r="K14" i="5"/>
  <c r="C14" i="5"/>
  <c r="D13" i="5"/>
  <c r="E13" i="5"/>
  <c r="F13" i="5"/>
  <c r="G13" i="5"/>
  <c r="H13" i="5"/>
  <c r="I13" i="5"/>
  <c r="J13" i="5"/>
  <c r="K13" i="5"/>
  <c r="C13" i="5"/>
  <c r="E10" i="5"/>
  <c r="F10" i="5"/>
  <c r="G10" i="5"/>
  <c r="H10" i="5"/>
  <c r="I10" i="5"/>
  <c r="J10" i="5"/>
  <c r="K10" i="5"/>
  <c r="L10" i="5"/>
  <c r="D10" i="5"/>
  <c r="E8" i="5"/>
  <c r="F8" i="5"/>
  <c r="G8" i="5"/>
  <c r="H8" i="5"/>
  <c r="I8" i="5"/>
  <c r="J8" i="5"/>
  <c r="K8" i="5"/>
  <c r="L8" i="5"/>
  <c r="D8" i="5"/>
  <c r="E7" i="5"/>
  <c r="F7" i="5"/>
  <c r="G7" i="5"/>
  <c r="H7" i="5"/>
  <c r="I7" i="5"/>
  <c r="J7" i="5"/>
  <c r="K7" i="5"/>
  <c r="L7" i="5"/>
  <c r="D7" i="5"/>
  <c r="E6" i="5"/>
  <c r="F6" i="5"/>
  <c r="G6" i="5"/>
  <c r="H6" i="5"/>
  <c r="I6" i="5"/>
  <c r="J6" i="5"/>
  <c r="K6" i="5"/>
  <c r="L6" i="5"/>
  <c r="D6" i="5"/>
  <c r="E5" i="5"/>
  <c r="F5" i="5"/>
  <c r="G5" i="5"/>
  <c r="H5" i="5"/>
  <c r="I5" i="5"/>
  <c r="J5" i="5"/>
  <c r="K5" i="5"/>
  <c r="L5" i="5"/>
  <c r="D5" i="5"/>
  <c r="L3" i="5"/>
  <c r="K3" i="5"/>
  <c r="J3" i="5"/>
  <c r="I3" i="5"/>
  <c r="H3" i="5"/>
  <c r="G3" i="5"/>
  <c r="F3" i="5"/>
  <c r="E3" i="5"/>
  <c r="D3" i="5"/>
  <c r="C3" i="5"/>
  <c r="B2" i="5"/>
  <c r="D77" i="1"/>
  <c r="E77" i="1"/>
  <c r="F77" i="1"/>
  <c r="G77" i="1"/>
  <c r="H77" i="1"/>
  <c r="I77" i="1"/>
  <c r="J77" i="1"/>
  <c r="K77" i="1"/>
  <c r="L77" i="1"/>
  <c r="D78" i="1"/>
  <c r="E78" i="1"/>
  <c r="F78" i="1"/>
  <c r="G78" i="1"/>
  <c r="H78" i="1"/>
  <c r="I78" i="1"/>
  <c r="J78" i="1"/>
  <c r="K78" i="1"/>
  <c r="L78" i="1"/>
  <c r="C78" i="1"/>
  <c r="C76" i="1"/>
  <c r="D76" i="1"/>
  <c r="E76" i="1"/>
  <c r="F76" i="1"/>
  <c r="G76" i="1"/>
  <c r="H76" i="1"/>
  <c r="I76" i="1"/>
  <c r="J76" i="1"/>
  <c r="K76" i="1"/>
  <c r="L76" i="1"/>
  <c r="C77" i="1"/>
  <c r="D75" i="1"/>
  <c r="E75" i="1"/>
  <c r="F75" i="1"/>
  <c r="G75" i="1"/>
  <c r="H75" i="1"/>
  <c r="I75" i="1"/>
  <c r="J75" i="1"/>
  <c r="K75" i="1"/>
  <c r="L75" i="1"/>
  <c r="C75" i="1"/>
  <c r="D63" i="1"/>
  <c r="E63" i="1"/>
  <c r="F63" i="1"/>
  <c r="G63" i="1"/>
  <c r="H63" i="1"/>
  <c r="I63" i="1"/>
  <c r="J63" i="1"/>
  <c r="K63" i="1"/>
  <c r="L63" i="1"/>
  <c r="C63" i="1"/>
  <c r="D57" i="1"/>
  <c r="E57" i="1"/>
  <c r="F57" i="1"/>
  <c r="G57" i="1"/>
  <c r="H57" i="1"/>
  <c r="I57" i="1"/>
  <c r="J57" i="1"/>
  <c r="K57" i="1"/>
  <c r="L57" i="1"/>
  <c r="C57" i="1"/>
  <c r="C68" i="1"/>
  <c r="I12" i="1"/>
  <c r="D62" i="1"/>
  <c r="E62" i="1"/>
  <c r="F62" i="1"/>
  <c r="G62" i="1"/>
  <c r="H62" i="1"/>
  <c r="I62" i="1"/>
  <c r="J62" i="1"/>
  <c r="K62" i="1"/>
  <c r="L62" i="1"/>
  <c r="C62" i="1"/>
  <c r="D68" i="1"/>
  <c r="E68" i="1"/>
  <c r="F68" i="1"/>
  <c r="G68" i="1"/>
  <c r="H68" i="1"/>
  <c r="I68" i="1"/>
  <c r="J68" i="1"/>
  <c r="K68" i="1"/>
  <c r="L68" i="1"/>
  <c r="D59" i="1"/>
  <c r="E59" i="1"/>
  <c r="F59" i="1"/>
  <c r="G59" i="1"/>
  <c r="H59" i="1"/>
  <c r="I59" i="1"/>
  <c r="J59" i="1"/>
  <c r="K59" i="1"/>
  <c r="L59" i="1"/>
  <c r="C60" i="1"/>
  <c r="C61" i="1"/>
  <c r="C59" i="1"/>
  <c r="C66" i="1"/>
  <c r="D66" i="1"/>
  <c r="E66" i="1"/>
  <c r="F66" i="1"/>
  <c r="G66" i="1"/>
  <c r="H66" i="1"/>
  <c r="I66" i="1"/>
  <c r="J66" i="1"/>
  <c r="K66" i="1"/>
  <c r="L66" i="1"/>
  <c r="C67" i="1"/>
  <c r="D67" i="1"/>
  <c r="E67" i="1"/>
  <c r="F67" i="1"/>
  <c r="G67" i="1"/>
  <c r="H67" i="1"/>
  <c r="I67" i="1"/>
  <c r="J67" i="1"/>
  <c r="K67" i="1"/>
  <c r="L67" i="1"/>
  <c r="D65" i="1"/>
  <c r="E65" i="1"/>
  <c r="F65" i="1"/>
  <c r="G65" i="1"/>
  <c r="H65" i="1"/>
  <c r="I65" i="1"/>
  <c r="J65" i="1"/>
  <c r="K65" i="1"/>
  <c r="L65" i="1"/>
  <c r="C65" i="1"/>
  <c r="D70" i="1"/>
  <c r="D72" i="1" s="1"/>
  <c r="F70" i="1"/>
  <c r="F72" i="1" s="1"/>
  <c r="G70" i="1"/>
  <c r="G72" i="1" s="1"/>
  <c r="H70" i="1"/>
  <c r="H72" i="1" s="1"/>
  <c r="I70" i="1"/>
  <c r="I72" i="1" s="1"/>
  <c r="J70" i="1"/>
  <c r="J72" i="1" s="1"/>
  <c r="K70" i="1"/>
  <c r="K72" i="1" s="1"/>
  <c r="D60" i="1"/>
  <c r="E60" i="1"/>
  <c r="F60" i="1"/>
  <c r="G60" i="1"/>
  <c r="H60" i="1"/>
  <c r="I60" i="1"/>
  <c r="J60" i="1"/>
  <c r="K60" i="1"/>
  <c r="L60" i="1"/>
  <c r="D61" i="1"/>
  <c r="E61" i="1"/>
  <c r="F61" i="1"/>
  <c r="G61" i="1"/>
  <c r="H61" i="1"/>
  <c r="I61" i="1"/>
  <c r="J61" i="1"/>
  <c r="K61" i="1"/>
  <c r="L61" i="1"/>
  <c r="E54" i="1"/>
  <c r="F54" i="1"/>
  <c r="G54" i="1"/>
  <c r="H54" i="1"/>
  <c r="I54" i="1"/>
  <c r="J54" i="1"/>
  <c r="K54" i="1"/>
  <c r="L54" i="1"/>
  <c r="E55" i="1"/>
  <c r="F55" i="1"/>
  <c r="G55" i="1"/>
  <c r="H55" i="1"/>
  <c r="I55" i="1"/>
  <c r="J55" i="1"/>
  <c r="K55" i="1"/>
  <c r="L55" i="1"/>
  <c r="E56" i="1"/>
  <c r="F56" i="1"/>
  <c r="G56" i="1"/>
  <c r="H56" i="1"/>
  <c r="I56" i="1"/>
  <c r="J56" i="1"/>
  <c r="K56" i="1"/>
  <c r="L56" i="1"/>
  <c r="D54" i="1"/>
  <c r="D55" i="1"/>
  <c r="D56" i="1"/>
  <c r="D53" i="1"/>
  <c r="E53" i="1"/>
  <c r="F53" i="1"/>
  <c r="G53" i="1"/>
  <c r="H53" i="1"/>
  <c r="I53" i="1"/>
  <c r="J53" i="1"/>
  <c r="K53" i="1"/>
  <c r="L53" i="1"/>
  <c r="C54" i="1"/>
  <c r="C55" i="1"/>
  <c r="C56" i="1"/>
  <c r="C53" i="1"/>
  <c r="B52" i="1"/>
  <c r="D42" i="1"/>
  <c r="D47" i="1" s="1"/>
  <c r="E42" i="1"/>
  <c r="E47" i="1" s="1"/>
  <c r="F42" i="1"/>
  <c r="F47" i="1" s="1"/>
  <c r="G42" i="1"/>
  <c r="G47" i="1" s="1"/>
  <c r="H42" i="1"/>
  <c r="H47" i="1" s="1"/>
  <c r="I42" i="1"/>
  <c r="I47" i="1" s="1"/>
  <c r="J42" i="1"/>
  <c r="J47" i="1" s="1"/>
  <c r="K42" i="1"/>
  <c r="K47" i="1" s="1"/>
  <c r="L42" i="1"/>
  <c r="L47" i="1" s="1"/>
  <c r="C42" i="1"/>
  <c r="C47" i="1" s="1"/>
  <c r="M36" i="1"/>
  <c r="M27" i="1"/>
  <c r="M21" i="1"/>
  <c r="M30" i="1"/>
  <c r="M9" i="1"/>
  <c r="M6" i="1"/>
  <c r="M18" i="1"/>
  <c r="D27" i="1"/>
  <c r="E27" i="1"/>
  <c r="F27" i="1"/>
  <c r="G27" i="1"/>
  <c r="H27" i="1"/>
  <c r="I27" i="1"/>
  <c r="J27" i="1"/>
  <c r="K27" i="1"/>
  <c r="L27" i="1"/>
  <c r="C27" i="1"/>
  <c r="C28" i="1" s="1"/>
  <c r="M15" i="1"/>
  <c r="M7" i="1"/>
  <c r="L21" i="1"/>
  <c r="K21" i="1"/>
  <c r="J21" i="1"/>
  <c r="I21" i="1"/>
  <c r="H21" i="1"/>
  <c r="G21" i="1"/>
  <c r="F21" i="1"/>
  <c r="E21" i="1"/>
  <c r="D21" i="1"/>
  <c r="C21" i="1"/>
  <c r="C30" i="1"/>
  <c r="D30" i="1"/>
  <c r="E30" i="1"/>
  <c r="F30" i="1"/>
  <c r="G30" i="1"/>
  <c r="H30" i="1"/>
  <c r="I30" i="1"/>
  <c r="J30" i="1"/>
  <c r="K30" i="1"/>
  <c r="L30" i="1"/>
  <c r="L36" i="1"/>
  <c r="K36" i="1"/>
  <c r="J36" i="1"/>
  <c r="I36" i="1"/>
  <c r="H36" i="1"/>
  <c r="G36" i="1"/>
  <c r="F36" i="1"/>
  <c r="E36" i="1"/>
  <c r="D36" i="1"/>
  <c r="C36" i="1"/>
  <c r="C6" i="1"/>
  <c r="D6" i="1"/>
  <c r="D22" i="1" s="1"/>
  <c r="E6" i="1"/>
  <c r="E22" i="1" s="1"/>
  <c r="F6" i="1"/>
  <c r="G6" i="1"/>
  <c r="G22" i="1" s="1"/>
  <c r="H6" i="1"/>
  <c r="H22" i="1" s="1"/>
  <c r="I6" i="1"/>
  <c r="I22" i="1" s="1"/>
  <c r="J6" i="1"/>
  <c r="J22" i="1" s="1"/>
  <c r="K6" i="1"/>
  <c r="K22" i="1" s="1"/>
  <c r="L6" i="1"/>
  <c r="L22" i="1" s="1"/>
  <c r="L15" i="1"/>
  <c r="L16" i="1" s="1"/>
  <c r="K15" i="1"/>
  <c r="K16" i="1" s="1"/>
  <c r="J15" i="1"/>
  <c r="I15" i="1"/>
  <c r="I16" i="1" s="1"/>
  <c r="H15" i="1"/>
  <c r="H16" i="1" s="1"/>
  <c r="G15" i="1"/>
  <c r="G16" i="1" s="1"/>
  <c r="F15" i="1"/>
  <c r="F16" i="1" s="1"/>
  <c r="E15" i="1"/>
  <c r="E16" i="1" s="1"/>
  <c r="D15" i="1"/>
  <c r="C15" i="1"/>
  <c r="C16" i="1" s="1"/>
  <c r="L9" i="1"/>
  <c r="K9" i="1"/>
  <c r="J9" i="1"/>
  <c r="I9" i="1"/>
  <c r="H9" i="1"/>
  <c r="G9" i="1"/>
  <c r="F9" i="1"/>
  <c r="E9" i="1"/>
  <c r="D9" i="1"/>
  <c r="C9" i="1"/>
  <c r="L3" i="1"/>
  <c r="K3" i="1"/>
  <c r="J3" i="1"/>
  <c r="I3" i="1"/>
  <c r="H3" i="1"/>
  <c r="G3" i="1"/>
  <c r="F3" i="1"/>
  <c r="E3" i="1"/>
  <c r="D3" i="1"/>
  <c r="C3" i="1"/>
  <c r="B2" i="1"/>
  <c r="B6" i="4"/>
  <c r="E1" i="4"/>
  <c r="B5" i="1"/>
  <c r="D45" i="5" l="1"/>
  <c r="H45" i="5"/>
  <c r="C45" i="5"/>
  <c r="K32" i="5"/>
  <c r="H32" i="5"/>
  <c r="D32" i="5"/>
  <c r="F32" i="5"/>
  <c r="J32" i="5"/>
  <c r="I32" i="5"/>
  <c r="E32" i="5"/>
  <c r="L70" i="1"/>
  <c r="E70" i="1"/>
  <c r="E72" i="1" s="1"/>
  <c r="C70" i="1"/>
  <c r="C72" i="1" s="1"/>
  <c r="D28" i="1"/>
  <c r="E28" i="1"/>
  <c r="F28" i="1"/>
  <c r="G28" i="1"/>
  <c r="H28" i="1"/>
  <c r="I28" i="1"/>
  <c r="J28" i="1"/>
  <c r="K28" i="1"/>
  <c r="L28" i="1"/>
  <c r="M22" i="1"/>
  <c r="M28" i="1"/>
  <c r="M31" i="1"/>
  <c r="F22" i="1"/>
  <c r="M19" i="1"/>
  <c r="M24" i="1"/>
  <c r="J16" i="1"/>
  <c r="C31" i="1"/>
  <c r="C22" i="1"/>
  <c r="M12" i="1"/>
  <c r="M13" i="1" s="1"/>
  <c r="M10" i="1"/>
  <c r="L31" i="1"/>
  <c r="K31" i="1"/>
  <c r="J31" i="1"/>
  <c r="I31" i="1"/>
  <c r="H31" i="1"/>
  <c r="G31" i="1"/>
  <c r="F31" i="1"/>
  <c r="E31" i="1"/>
  <c r="D31" i="1"/>
  <c r="D16" i="1"/>
  <c r="L12" i="1"/>
  <c r="L18" i="1" s="1"/>
  <c r="L10" i="1"/>
  <c r="K10" i="1"/>
  <c r="K12" i="1"/>
  <c r="K18" i="1" s="1"/>
  <c r="J10" i="1"/>
  <c r="J12" i="1"/>
  <c r="J18" i="1" s="1"/>
  <c r="I10" i="1"/>
  <c r="I18" i="1"/>
  <c r="H10" i="1"/>
  <c r="H12" i="1"/>
  <c r="H18" i="1" s="1"/>
  <c r="G12" i="1"/>
  <c r="G18" i="1" s="1"/>
  <c r="G10" i="1"/>
  <c r="F10" i="1"/>
  <c r="F12" i="1"/>
  <c r="F18" i="1" s="1"/>
  <c r="E10" i="1"/>
  <c r="E12" i="1"/>
  <c r="E18" i="1" s="1"/>
  <c r="D10" i="1"/>
  <c r="D12" i="1"/>
  <c r="D18" i="1" s="1"/>
  <c r="C10" i="1"/>
  <c r="C12" i="1"/>
  <c r="L7" i="1"/>
  <c r="K7" i="1"/>
  <c r="J7" i="1"/>
  <c r="I7" i="1"/>
  <c r="H7" i="1"/>
  <c r="G7" i="1"/>
  <c r="F7" i="1"/>
  <c r="E7" i="1"/>
  <c r="D7" i="1"/>
  <c r="L72" i="1" l="1"/>
  <c r="M25" i="1"/>
  <c r="M33" i="1"/>
  <c r="L24" i="1"/>
  <c r="K24" i="1"/>
  <c r="J24" i="1"/>
  <c r="I24" i="1"/>
  <c r="H24" i="1"/>
  <c r="G24" i="1"/>
  <c r="F24" i="1"/>
  <c r="E24" i="1"/>
  <c r="D24" i="1"/>
  <c r="L13" i="1"/>
  <c r="K13" i="1"/>
  <c r="J13" i="1"/>
  <c r="I13" i="1"/>
  <c r="H13" i="1"/>
  <c r="G13" i="1"/>
  <c r="F13" i="1"/>
  <c r="E13" i="1"/>
  <c r="D13" i="1"/>
  <c r="C13" i="1"/>
  <c r="C18" i="1"/>
  <c r="M34" i="1" l="1"/>
  <c r="M39" i="1"/>
  <c r="M40" i="1" s="1"/>
  <c r="M37" i="1"/>
  <c r="L25" i="1"/>
  <c r="L33" i="1"/>
  <c r="L39" i="1" s="1"/>
  <c r="K25" i="1"/>
  <c r="K33" i="1"/>
  <c r="K39" i="1" s="1"/>
  <c r="J25" i="1"/>
  <c r="J33" i="1"/>
  <c r="J39" i="1" s="1"/>
  <c r="I25" i="1"/>
  <c r="I33" i="1"/>
  <c r="I39" i="1" s="1"/>
  <c r="H25" i="1"/>
  <c r="H33" i="1"/>
  <c r="H39" i="1" s="1"/>
  <c r="G25" i="1"/>
  <c r="G33" i="1"/>
  <c r="G39" i="1" s="1"/>
  <c r="F25" i="1"/>
  <c r="F33" i="1"/>
  <c r="F39" i="1" s="1"/>
  <c r="E25" i="1"/>
  <c r="E33" i="1"/>
  <c r="E39" i="1" s="1"/>
  <c r="D25" i="1"/>
  <c r="D33" i="1"/>
  <c r="D39" i="1" s="1"/>
  <c r="C24" i="1"/>
  <c r="L19" i="1"/>
  <c r="K19" i="1"/>
  <c r="J19" i="1"/>
  <c r="I19" i="1"/>
  <c r="H19" i="1"/>
  <c r="G19" i="1"/>
  <c r="F19" i="1"/>
  <c r="E19" i="1"/>
  <c r="D19" i="1"/>
  <c r="C19" i="1"/>
  <c r="L40" i="1" l="1"/>
  <c r="L44" i="1"/>
  <c r="K40" i="1"/>
  <c r="K44" i="1"/>
  <c r="J40" i="1"/>
  <c r="J44" i="1"/>
  <c r="I40" i="1"/>
  <c r="I44" i="1"/>
  <c r="H40" i="1"/>
  <c r="H44" i="1"/>
  <c r="G40" i="1"/>
  <c r="G44" i="1"/>
  <c r="F40" i="1"/>
  <c r="F44" i="1"/>
  <c r="E40" i="1"/>
  <c r="E44" i="1"/>
  <c r="D40" i="1"/>
  <c r="D44" i="1"/>
  <c r="C25" i="1"/>
  <c r="C33" i="1"/>
  <c r="L37" i="1"/>
  <c r="L34" i="1"/>
  <c r="K37" i="1"/>
  <c r="K34" i="1"/>
  <c r="J37" i="1"/>
  <c r="J34" i="1"/>
  <c r="I37" i="1"/>
  <c r="I34" i="1"/>
  <c r="H37" i="1"/>
  <c r="H34" i="1"/>
  <c r="G37" i="1"/>
  <c r="G34" i="1"/>
  <c r="F37" i="1"/>
  <c r="F34" i="1"/>
  <c r="E37" i="1"/>
  <c r="E34" i="1"/>
  <c r="D37" i="1"/>
  <c r="D34" i="1"/>
  <c r="L48" i="1" l="1"/>
  <c r="L50" i="1" s="1"/>
  <c r="L45" i="1"/>
  <c r="K48" i="1"/>
  <c r="K45" i="1"/>
  <c r="K50" i="1"/>
  <c r="J48" i="1"/>
  <c r="J45" i="1"/>
  <c r="J50" i="1"/>
  <c r="I45" i="1"/>
  <c r="I48" i="1"/>
  <c r="I50" i="1"/>
  <c r="H45" i="1"/>
  <c r="H48" i="1"/>
  <c r="H50" i="1" s="1"/>
  <c r="G48" i="1"/>
  <c r="G50" i="1" s="1"/>
  <c r="G45" i="1"/>
  <c r="F48" i="1"/>
  <c r="F45" i="1"/>
  <c r="F50" i="1"/>
  <c r="E48" i="1"/>
  <c r="E45" i="1"/>
  <c r="E50" i="1"/>
  <c r="D48" i="1"/>
  <c r="D50" i="1"/>
  <c r="C39" i="1"/>
  <c r="C37" i="1"/>
  <c r="C34" i="1"/>
  <c r="C40" i="1" l="1"/>
  <c r="C44" i="1"/>
  <c r="D45" i="1" l="1"/>
  <c r="C48" i="1"/>
  <c r="C50" i="1"/>
</calcChain>
</file>

<file path=xl/sharedStrings.xml><?xml version="1.0" encoding="utf-8"?>
<sst xmlns="http://schemas.openxmlformats.org/spreadsheetml/2006/main" count="219" uniqueCount="148">
  <si>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</si>
  <si>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</si>
  <si>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</si>
  <si>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</si>
  <si>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</si>
  <si>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</si>
  <si>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</si>
  <si>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</si>
  <si>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</si>
  <si>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</si>
  <si>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</si>
  <si>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</si>
  <si>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</si>
  <si>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</si>
  <si>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</si>
  <si>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</si>
  <si>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</si>
  <si>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</si>
  <si>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</si>
  <si>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</si>
  <si>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</si>
  <si>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</si>
  <si>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</si>
  <si>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</si>
  <si>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</si>
  <si>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</si>
  <si>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</si>
  <si>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</si>
  <si>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</si>
  <si>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</si>
  <si>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</si>
  <si>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</si>
  <si>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</si>
  <si>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</si>
  <si>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</si>
  <si>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</si>
  <si>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</si>
  <si>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</si>
  <si>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</si>
  <si>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</si>
  <si>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</si>
  <si>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</si>
  <si>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</si>
  <si>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</si>
  <si>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</si>
  <si>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</si>
  <si>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</si>
  <si>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</si>
  <si>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</si>
  <si>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</si>
  <si>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</si>
  <si>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</si>
  <si>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</si>
  <si>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</t>
  </si>
  <si>
    <t>#</t>
  </si>
  <si>
    <t>Sales Growth</t>
  </si>
  <si>
    <t>COGS</t>
  </si>
  <si>
    <t>ADANI ENTERPRISES LTD</t>
  </si>
  <si>
    <t>Gross Margin</t>
  </si>
  <si>
    <t>Selling &amp; General Expenses</t>
  </si>
  <si>
    <t>S&amp;G Exp % Sales</t>
  </si>
  <si>
    <t>COGS % Sales</t>
  </si>
  <si>
    <t>Gross Margin % Sales</t>
  </si>
  <si>
    <t>EBITDA Margins</t>
  </si>
  <si>
    <t>Interest % Sales</t>
  </si>
  <si>
    <t>Depreciation%Sales</t>
  </si>
  <si>
    <t>Earnings Before Tax</t>
  </si>
  <si>
    <t>EBT % Sales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</si>
  <si>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</si>
  <si>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</si>
  <si>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</si>
  <si>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</si>
  <si>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</si>
  <si>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</si>
  <si>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</si>
  <si>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</si>
  <si>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</si>
  <si>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EBIT Margins</t>
  </si>
  <si>
    <t>TTM</t>
  </si>
  <si>
    <t xml:space="preserve">Other Income </t>
  </si>
  <si>
    <t>Other income % Sales</t>
  </si>
  <si>
    <t>Total Non Current Asset</t>
  </si>
  <si>
    <t>Total Liabilities</t>
  </si>
  <si>
    <t>Total Current Asset</t>
  </si>
  <si>
    <t>Total Asset</t>
  </si>
  <si>
    <t>Error Check</t>
  </si>
  <si>
    <t xml:space="preserve">Cash Flow Statement </t>
  </si>
  <si>
    <t>EBITDA Growth</t>
  </si>
  <si>
    <t>EBIT Growth</t>
  </si>
  <si>
    <t>Net Profit Growth</t>
  </si>
  <si>
    <t>EBITDA Margin</t>
  </si>
  <si>
    <t>EBIT Margin</t>
  </si>
  <si>
    <t>EBT Margin</t>
  </si>
  <si>
    <t>Net Profit Margin</t>
  </si>
  <si>
    <t>Retained Earnings%</t>
  </si>
  <si>
    <t>Self Sustained Growth Rate</t>
  </si>
  <si>
    <t>Interest Coverage Ratio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</si>
  <si>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</si>
  <si>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</si>
  <si>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</si>
  <si>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</si>
  <si>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</si>
  <si>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Debtor Days</t>
  </si>
  <si>
    <t>Payable Days</t>
  </si>
  <si>
    <t>Inventory Days</t>
  </si>
  <si>
    <t>Cash Conversion Cycle</t>
  </si>
  <si>
    <t>PE Ratio</t>
  </si>
  <si>
    <t>Tax Payout %</t>
  </si>
  <si>
    <t>Dividend Payout %</t>
  </si>
  <si>
    <t>EBITDA</t>
  </si>
  <si>
    <t>EBIT (OPM)</t>
  </si>
  <si>
    <t>GROWTH RATIOS</t>
  </si>
  <si>
    <t>PROFITABILITY &amp; MARGIN RATIOS</t>
  </si>
  <si>
    <t>Dividend per Share Growth</t>
  </si>
  <si>
    <t>EPS Growth</t>
  </si>
  <si>
    <t>Selling &amp; General Expenses % Sales</t>
  </si>
  <si>
    <t>COST &amp; PAYOUT RATIOS (% OF SALES)</t>
  </si>
  <si>
    <t>RETURN &amp; VALUE-CREATION RATIOS</t>
  </si>
  <si>
    <t>Return on Capital Employed (ROCE) %</t>
  </si>
  <si>
    <t>Return on Equity (ROE) %</t>
  </si>
  <si>
    <t>Return on Assets (ROA) %</t>
  </si>
  <si>
    <t>Return on Invested Capital (ROIC) %</t>
  </si>
  <si>
    <t>TURNOVER &amp; EFFICIENCY RATIOS (times)</t>
  </si>
  <si>
    <t>VALUATION RATIOS</t>
  </si>
  <si>
    <t>Price to Sales</t>
  </si>
  <si>
    <t>PEG Ratio</t>
  </si>
  <si>
    <t>LEVERAGE &amp; SOLVENCY RATIOS</t>
  </si>
  <si>
    <t>Debt to Equity Ratio</t>
  </si>
  <si>
    <t>Debt to Asset Ratio</t>
  </si>
  <si>
    <t>WORKING CAPITAL CYCLE (IN DAYS)</t>
  </si>
  <si>
    <t>CASH FLOW RATIOS</t>
  </si>
  <si>
    <t>CFO / Sales</t>
  </si>
  <si>
    <t>CFO / PAT</t>
  </si>
  <si>
    <t>CFO / Total Assets</t>
  </si>
  <si>
    <t>CFO / Total Debt</t>
  </si>
  <si>
    <t>TREND</t>
  </si>
  <si>
    <t>Mean</t>
  </si>
  <si>
    <t>Median</t>
  </si>
  <si>
    <t>Common Size Statement - ADANI ENTERPRISES LTD</t>
  </si>
  <si>
    <t>COMMON SIZE INCOME STATEMENT (% OF SALES)</t>
  </si>
  <si>
    <t>Gross Profit</t>
  </si>
  <si>
    <t>EBIT (Operating Profit)</t>
  </si>
  <si>
    <t>COMMON SIZE BALANCE SHEET - EQUITY &amp; LIABILITIES (% OF TOTAL LIABILITIES)</t>
  </si>
  <si>
    <t>Total Equity &amp; Liabilities</t>
  </si>
  <si>
    <t>COMMON SIZE BALANCE SHEET - ASSETS (% OF TOTAL ASSETS)</t>
  </si>
  <si>
    <t>Total Non Current Assets</t>
  </si>
  <si>
    <t>Total Current Assets</t>
  </si>
  <si>
    <t>Total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</si>
</sst>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#,##0;\(#,##0\);\-"/>
    <numFmt numFmtId="167" formatCode="&quot;₹&quot;\ #,##0.00"/>
    <numFmt numFmtId="168" formatCode="&quot;₹&quot;\ #,##0.00;\(&quot;₹&quot;\ #,##0.00\);\-"/>
    <numFmt numFmtId="169" formatCode="&quot;₹&quot;\ #,##0.00;\(&quot;₹&quot;\ #,##0.00\);"/>
    <numFmt numFmtId="170" formatCode="#,##0.0\x;\ \(#,##0.0\x\)"/>
    <numFmt numFmtId="180" formatCode="_(* #,##0.00_);_(* \(#,##0.00\);_(* \-??_);_(@_)"/>
    <numFmt numFmtId="185" formatCode="#,##0.0\x;&quot; (&quot;#,##0.0&quot;x)&quot;"/>
    <numFmt numFmtId="186" formatCode="#,##0.00\x;&quot; (&quot;#,##0.00&quot;x)&quot;"/>
    <numFmt numFmtId="190" formatCode="0.0"/>
  </numFmts>
  <fonts count="22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 tint="0.499984740745262"/>
      <name val="Calibri"/>
      <family val="2"/>
    </font>
    <font>
      <i/>
      <sz val="11"/>
      <color theme="0" tint="-0.499984740745262"/>
      <name val="calibri"/>
      <family val="2"/>
    </font>
    <font>
      <i/>
      <sz val="11"/>
      <color theme="1" tint="0.499984740745262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rgb="FF002060"/>
      <name val="Calibri"/>
      <charset val="1"/>
    </font>
    <font>
      <sz val="11"/>
      <name val="Calibri"/>
      <charset val="1"/>
    </font>
    <font>
      <b/>
      <sz val="11"/>
      <color rgb="FF000000"/>
      <name val="Calibri"/>
      <family val="2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i/>
      <sz val="11"/>
      <color rgb="FF808080"/>
      <name val="Calibri"/>
      <charset val="1"/>
    </font>
    <font>
      <b/>
      <sz val="11"/>
      <color rgb="FF00206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rgb="FF99CC00"/>
      </patternFill>
    </fill>
    <fill>
      <patternFill patternType="solid">
        <fgColor rgb="FF002060"/>
        <bgColor rgb="FF000080"/>
      </patternFill>
    </fill>
    <fill>
      <patternFill patternType="solid">
        <fgColor rgb="FFD9E1F2"/>
        <bgColor rgb="FFDAE3F3"/>
      </patternFill>
    </fill>
    <fill>
      <patternFill patternType="solid">
        <fgColor rgb="FFD9E1F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 style="thin">
        <color auto="1"/>
      </left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/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4" fillId="2" borderId="0" applyNumberFormat="0" applyBorder="0" applyAlignment="0" applyProtection="0"/>
    <xf numFmtId="0" fontId="2" fillId="0" borderId="0"/>
    <xf numFmtId="9" fontId="7" fillId="0" borderId="0" applyFont="0" applyFill="0" applyBorder="0" applyAlignment="0" applyProtection="0"/>
    <xf numFmtId="0" fontId="12" fillId="0" borderId="0"/>
    <xf numFmtId="9" fontId="12" fillId="0" borderId="0"/>
    <xf numFmtId="0" fontId="13" fillId="7" borderId="0"/>
    <xf numFmtId="180" fontId="12" fillId="0" borderId="0"/>
    <xf numFmtId="0" fontId="14" fillId="0" borderId="0">
      <alignment vertical="top"/>
      <protection locked="0"/>
    </xf>
    <xf numFmtId="0" fontId="12" fillId="0" borderId="0"/>
  </cellStyleXfs>
  <cellXfs count="73">
    <xf numFmtId="0" fontId="0" fillId="0" borderId="0" xfId="0"/>
    <xf numFmtId="43" fontId="3" fillId="0" borderId="0" xfId="1" applyFont="1" applyBorder="1"/>
    <xf numFmtId="43" fontId="0" fillId="0" borderId="0" xfId="1" applyFont="1" applyBorder="1"/>
    <xf numFmtId="0" fontId="2" fillId="0" borderId="0" xfId="4"/>
    <xf numFmtId="164" fontId="5" fillId="3" borderId="0" xfId="1" applyNumberFormat="1" applyFont="1" applyFill="1" applyBorder="1"/>
    <xf numFmtId="164" fontId="5" fillId="3" borderId="0" xfId="4" applyNumberFormat="1" applyFont="1" applyFill="1" applyAlignment="1">
      <alignment horizontal="center"/>
    </xf>
    <xf numFmtId="164" fontId="6" fillId="0" borderId="0" xfId="1" applyNumberFormat="1" applyFont="1" applyFill="1" applyBorder="1"/>
    <xf numFmtId="43" fontId="2" fillId="0" borderId="0" xfId="1" applyFont="1" applyBorder="1"/>
    <xf numFmtId="165" fontId="0" fillId="0" borderId="0" xfId="1" applyNumberFormat="1" applyFont="1" applyBorder="1"/>
    <xf numFmtId="0" fontId="8" fillId="4" borderId="0" xfId="0" applyFont="1" applyFill="1"/>
    <xf numFmtId="43" fontId="0" fillId="0" borderId="0" xfId="0" applyNumberFormat="1"/>
    <xf numFmtId="0" fontId="9" fillId="0" borderId="0" xfId="0" applyFont="1"/>
    <xf numFmtId="166" fontId="9" fillId="0" borderId="0" xfId="0" applyNumberFormat="1" applyFont="1"/>
    <xf numFmtId="10" fontId="9" fillId="0" borderId="0" xfId="5" applyNumberFormat="1" applyFont="1"/>
    <xf numFmtId="0" fontId="10" fillId="0" borderId="0" xfId="0" applyFont="1"/>
    <xf numFmtId="10" fontId="9" fillId="0" borderId="0" xfId="0" applyNumberFormat="1" applyFont="1"/>
    <xf numFmtId="167" fontId="0" fillId="0" borderId="0" xfId="0" applyNumberFormat="1"/>
    <xf numFmtId="168" fontId="0" fillId="0" borderId="0" xfId="0" applyNumberFormat="1" applyAlignment="1">
      <alignment horizontal="right"/>
    </xf>
    <xf numFmtId="0" fontId="8" fillId="0" borderId="0" xfId="0" applyFont="1"/>
    <xf numFmtId="168" fontId="0" fillId="0" borderId="1" xfId="0" applyNumberFormat="1" applyBorder="1" applyAlignment="1">
      <alignment horizontal="right"/>
    </xf>
    <xf numFmtId="10" fontId="9" fillId="0" borderId="1" xfId="5" applyNumberFormat="1" applyFont="1" applyBorder="1"/>
    <xf numFmtId="0" fontId="0" fillId="0" borderId="1" xfId="0" applyBorder="1"/>
    <xf numFmtId="10" fontId="9" fillId="0" borderId="1" xfId="0" applyNumberFormat="1" applyFont="1" applyBorder="1"/>
    <xf numFmtId="10" fontId="11" fillId="0" borderId="0" xfId="5" applyNumberFormat="1" applyFont="1" applyAlignment="1">
      <alignment horizontal="right"/>
    </xf>
    <xf numFmtId="0" fontId="8" fillId="4" borderId="1" xfId="0" applyFont="1" applyFill="1" applyBorder="1"/>
    <xf numFmtId="1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5" borderId="0" xfId="0" applyFont="1" applyFill="1"/>
    <xf numFmtId="0" fontId="0" fillId="5" borderId="0" xfId="0" applyFill="1" applyAlignment="1">
      <alignment horizontal="right"/>
    </xf>
    <xf numFmtId="169" fontId="0" fillId="0" borderId="0" xfId="0" applyNumberFormat="1" applyAlignment="1">
      <alignment horizontal="right"/>
    </xf>
    <xf numFmtId="43" fontId="8" fillId="0" borderId="5" xfId="0" applyNumberFormat="1" applyFont="1" applyBorder="1"/>
    <xf numFmtId="168" fontId="8" fillId="0" borderId="5" xfId="0" applyNumberFormat="1" applyFont="1" applyBorder="1" applyAlignment="1">
      <alignment horizontal="right"/>
    </xf>
    <xf numFmtId="168" fontId="8" fillId="0" borderId="6" xfId="0" applyNumberFormat="1" applyFont="1" applyBorder="1" applyAlignment="1">
      <alignment horizontal="right"/>
    </xf>
    <xf numFmtId="0" fontId="8" fillId="0" borderId="5" xfId="0" applyFont="1" applyBorder="1"/>
    <xf numFmtId="0" fontId="0" fillId="0" borderId="7" xfId="0" applyBorder="1"/>
    <xf numFmtId="164" fontId="5" fillId="6" borderId="0" xfId="4" applyNumberFormat="1" applyFont="1" applyFill="1" applyAlignment="1">
      <alignment horizontal="center"/>
    </xf>
    <xf numFmtId="10" fontId="0" fillId="0" borderId="0" xfId="5" applyNumberFormat="1" applyFont="1"/>
    <xf numFmtId="0" fontId="2" fillId="0" borderId="0" xfId="0" applyFont="1"/>
    <xf numFmtId="164" fontId="5" fillId="6" borderId="0" xfId="4" applyNumberFormat="1" applyFont="1" applyFill="1" applyAlignment="1">
      <alignment horizontal="center"/>
    </xf>
    <xf numFmtId="43" fontId="1" fillId="0" borderId="0" xfId="2" applyNumberFormat="1" applyBorder="1" applyAlignment="1" applyProtection="1">
      <alignment horizontal="center"/>
    </xf>
    <xf numFmtId="43" fontId="5" fillId="2" borderId="0" xfId="3" applyNumberFormat="1" applyFont="1" applyBorder="1" applyAlignment="1">
      <alignment horizontal="center"/>
    </xf>
    <xf numFmtId="0" fontId="15" fillId="9" borderId="0" xfId="6" applyFont="1" applyFill="1"/>
    <xf numFmtId="0" fontId="0" fillId="9" borderId="0" xfId="0" applyFill="1"/>
    <xf numFmtId="0" fontId="15" fillId="9" borderId="0" xfId="0" applyFont="1" applyFill="1"/>
    <xf numFmtId="0" fontId="16" fillId="0" borderId="0" xfId="0" applyFont="1"/>
    <xf numFmtId="10" fontId="16" fillId="0" borderId="0" xfId="0" applyNumberFormat="1" applyFont="1"/>
    <xf numFmtId="185" fontId="16" fillId="0" borderId="0" xfId="0" applyNumberFormat="1" applyFont="1"/>
    <xf numFmtId="4" fontId="16" fillId="0" borderId="0" xfId="0" applyNumberFormat="1" applyFont="1"/>
    <xf numFmtId="10" fontId="0" fillId="10" borderId="0" xfId="5" applyNumberFormat="1" applyFont="1" applyFill="1"/>
    <xf numFmtId="10" fontId="16" fillId="10" borderId="0" xfId="0" applyNumberFormat="1" applyFont="1" applyFill="1"/>
    <xf numFmtId="0" fontId="0" fillId="10" borderId="0" xfId="0" applyFill="1"/>
    <xf numFmtId="0" fontId="8" fillId="9" borderId="0" xfId="0" applyFont="1" applyFill="1"/>
    <xf numFmtId="0" fontId="17" fillId="9" borderId="0" xfId="0" applyFont="1" applyFill="1"/>
    <xf numFmtId="186" fontId="16" fillId="0" borderId="0" xfId="0" applyNumberFormat="1" applyFont="1"/>
    <xf numFmtId="190" fontId="0" fillId="0" borderId="0" xfId="0" applyNumberFormat="1"/>
    <xf numFmtId="170" fontId="2" fillId="0" borderId="0" xfId="1" applyNumberFormat="1" applyFont="1" applyBorder="1" applyAlignment="1">
      <alignment horizontal="right"/>
    </xf>
    <xf numFmtId="17" fontId="5" fillId="6" borderId="0" xfId="0" applyNumberFormat="1" applyFont="1" applyFill="1" applyAlignment="1">
      <alignment horizontal="center"/>
    </xf>
    <xf numFmtId="17" fontId="5" fillId="6" borderId="0" xfId="0" applyNumberFormat="1" applyFont="1" applyFill="1" applyAlignment="1">
      <alignment horizontal="right"/>
    </xf>
    <xf numFmtId="0" fontId="0" fillId="6" borderId="0" xfId="0" applyFill="1"/>
    <xf numFmtId="10" fontId="0" fillId="9" borderId="0" xfId="5" applyNumberFormat="1" applyFont="1" applyFill="1"/>
    <xf numFmtId="0" fontId="8" fillId="9" borderId="0" xfId="11" applyFont="1" applyFill="1"/>
    <xf numFmtId="0" fontId="21" fillId="9" borderId="0" xfId="11" applyFont="1" applyFill="1"/>
    <xf numFmtId="164" fontId="18" fillId="8" borderId="0" xfId="11" applyNumberFormat="1" applyFont="1" applyFill="1" applyAlignment="1">
      <alignment horizontal="center"/>
    </xf>
    <xf numFmtId="0" fontId="12" fillId="0" borderId="0" xfId="11"/>
    <xf numFmtId="164" fontId="18" fillId="8" borderId="0" xfId="11" applyNumberFormat="1" applyFont="1" applyFill="1"/>
    <xf numFmtId="0" fontId="12" fillId="9" borderId="0" xfId="11" applyFill="1"/>
    <xf numFmtId="0" fontId="16" fillId="0" borderId="0" xfId="11" applyFont="1"/>
    <xf numFmtId="10" fontId="16" fillId="0" borderId="0" xfId="11" applyNumberFormat="1" applyFont="1"/>
    <xf numFmtId="0" fontId="19" fillId="0" borderId="0" xfId="11" applyFont="1"/>
    <xf numFmtId="10" fontId="19" fillId="0" borderId="0" xfId="11" applyNumberFormat="1" applyFont="1"/>
    <xf numFmtId="0" fontId="20" fillId="0" borderId="0" xfId="11" applyFont="1"/>
  </cellXfs>
  <cellStyles count="12">
    <cellStyle name="Accent6 2" xfId="3" xr:uid="{4BFA631B-301A-45BC-A464-F8ABAF06A138}"/>
    <cellStyle name="Accent6 2 2" xfId="8" xr:uid="{BB4300E9-A88C-4633-8952-5BEA9520A448}"/>
    <cellStyle name="Comma 2" xfId="1" xr:uid="{0373B6E7-4899-4731-949E-E49415C9568A}"/>
    <cellStyle name="Comma 2 2" xfId="9" xr:uid="{299D0FCA-C84E-4983-8948-7181282BAEDF}"/>
    <cellStyle name="Hyperlink 2" xfId="2" xr:uid="{EF03DA13-D9B2-4DB0-B5B5-26D78369CBE1}"/>
    <cellStyle name="Hyperlink 2 2" xfId="10" xr:uid="{1AEC8344-FAD9-4B6C-B63B-26E3EDB07E22}"/>
    <cellStyle name="Normal" xfId="0" builtinId="0"/>
    <cellStyle name="Normal 2" xfId="4" xr:uid="{60A567FA-ACE1-4188-A40B-194568F2446C}"/>
    <cellStyle name="Normal 2 2" xfId="11" xr:uid="{719B348E-FCA0-40DD-810A-A0F64D2343DA}"/>
    <cellStyle name="Normal 3" xfId="6" xr:uid="{71DA94B0-5684-4EFA-933E-9FD3650DC3F4}"/>
    <cellStyle name="Percent" xfId="5" builtinId="5"/>
    <cellStyle name="Percent 2" xfId="7" xr:uid="{1F8185DC-14E0-4DD1-8606-5205DE678CFB}"/>
  </cellStyles>
  <dxfs count="7">
    <dxf>
      <font>
        <b/>
        <i val="0"/>
        <color theme="0"/>
      </font>
      <fill>
        <patternFill>
          <bgColor theme="5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rgb="FFFF0000"/>
        </patternFill>
      </fill>
    </dxf>
    <dxf>
      <font>
        <color theme="0"/>
      </font>
    </dxf>
    <dxf>
      <fill>
        <patternFill>
          <fgColor rgb="FFC00000"/>
          <bgColor rgb="FFFF0000"/>
        </patternFill>
      </fill>
    </dxf>
  </dxfs>
  <tableStyles count="0" defaultTableStyle="TableStyleMedium2" defaultPivotStyle="PivotStyleLight16"/>
  <colors>
    <mruColors>
      <color rgb="FFD9E1F2"/>
      <color rgb="FF0000FF"/>
      <color rgb="FF2D19A7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3S_model.xlsx" TargetMode="External"/><Relationship Id="rId2" Type="http://schemas.openxmlformats.org/officeDocument/2006/relationships/externalLinkPath" Target="file:///C:\Users\Rekha\Downloads\3S_model.xlsx" TargetMode="External"/><Relationship Id="rId1" Type="http://schemas.openxmlformats.org/officeDocument/2006/relationships/externalLinkPath" Target="/Users/Rekha/Downloads/3S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storicalFS"/>
      <sheetName val="Ratio Analysis"/>
      <sheetName val="Common Size Statement"/>
      <sheetName val="Data Shee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FA63-7F5A-41AB-9670-C6203CB814C2}">
  <sheetPr>
    <tabColor rgb="FF002060"/>
  </sheetPr>
  <dimension ref="A2:N81"/>
  <sheetViews>
    <sheetView showGridLines="0" zoomScaleNormal="100" workbookViewId="0">
      <pane xSplit="1" ySplit="3" topLeftCell="B44" activePane="bottomRight" state="frozen"/>
      <selection pane="topRight" activeCell="B1" sqref="B1"/>
      <selection pane="bottomLeft" activeCell="A4" sqref="A4"/>
      <selection pane="bottomRight" activeCell="E64" sqref="E64"/>
    </sheetView>
  </sheetViews>
  <sheetFormatPr defaultRowHeight="14.4" outlineLevelRow="1" x14ac:dyDescent="0.3"/>
  <cols>
    <col min="1" max="1" width="2.33203125" customWidth="1"/>
    <col min="2" max="2" width="28.44140625" customWidth="1"/>
    <col min="3" max="13" width="12.77734375" customWidth="1"/>
    <col min="14" max="14" width="10.109375" bestFit="1" customWidth="1"/>
  </cols>
  <sheetData>
    <row r="2" spans="1:14" x14ac:dyDescent="0.3">
      <c r="B2" s="40" t="str">
        <f>"Historical Financial Data - "&amp;'Data Sheet'!B1</f>
        <v>Historical Financial Data - ADANI ENTERPRISES LTD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4" x14ac:dyDescent="0.3">
      <c r="B3" s="37" t="s">
        <v>53</v>
      </c>
      <c r="C3" s="37">
        <f>'Data Sheet'!B16</f>
        <v>42825</v>
      </c>
      <c r="D3" s="37">
        <f>'Data Sheet'!C16</f>
        <v>43190</v>
      </c>
      <c r="E3" s="37">
        <f>'Data Sheet'!D16</f>
        <v>43555</v>
      </c>
      <c r="F3" s="37">
        <f>'Data Sheet'!E16</f>
        <v>43921</v>
      </c>
      <c r="G3" s="37">
        <f>'Data Sheet'!F16</f>
        <v>44286</v>
      </c>
      <c r="H3" s="37">
        <f>'Data Sheet'!G16</f>
        <v>44651</v>
      </c>
      <c r="I3" s="37">
        <f>'Data Sheet'!H16</f>
        <v>45016</v>
      </c>
      <c r="J3" s="37">
        <f>'Data Sheet'!I16</f>
        <v>45382</v>
      </c>
      <c r="K3" s="37">
        <f>'Data Sheet'!J16</f>
        <v>45747</v>
      </c>
      <c r="L3" s="37">
        <f>'Data Sheet'!K16</f>
        <v>46112</v>
      </c>
      <c r="M3" s="37" t="s">
        <v>78</v>
      </c>
    </row>
    <row r="5" spans="1:14" x14ac:dyDescent="0.3">
      <c r="A5" t="s">
        <v>54</v>
      </c>
      <c r="B5" s="9" t="str">
        <f>"Income Statement"</f>
        <v>Income Statement</v>
      </c>
      <c r="C5" s="9"/>
      <c r="D5" s="9"/>
      <c r="E5" s="9"/>
      <c r="F5" s="9"/>
      <c r="G5" s="9"/>
      <c r="H5" s="9"/>
      <c r="I5" s="9"/>
      <c r="J5" s="9"/>
      <c r="K5" s="9"/>
      <c r="L5" s="9"/>
      <c r="M5" s="24"/>
    </row>
    <row r="6" spans="1:14" outlineLevel="1" x14ac:dyDescent="0.3">
      <c r="B6" s="10" t="s">
        <v>11</v>
      </c>
      <c r="C6" s="17">
        <f>IFERROR('Data Sheet'!B17,0)</f>
        <v>36532.86</v>
      </c>
      <c r="D6" s="17">
        <f>IFERROR('Data Sheet'!C17,0)</f>
        <v>35923.919999999998</v>
      </c>
      <c r="E6" s="17">
        <f>IFERROR('Data Sheet'!D17,0)</f>
        <v>40378.660000000003</v>
      </c>
      <c r="F6" s="17">
        <f>IFERROR('Data Sheet'!E17,0)</f>
        <v>43402.559999999998</v>
      </c>
      <c r="G6" s="17">
        <f>IFERROR('Data Sheet'!F17,0)</f>
        <v>39537.129999999997</v>
      </c>
      <c r="H6" s="17">
        <f>IFERROR('Data Sheet'!G17,0)</f>
        <v>69420.179999999993</v>
      </c>
      <c r="I6" s="17">
        <f>IFERROR('Data Sheet'!H17,0)</f>
        <v>127539.5</v>
      </c>
      <c r="J6" s="17">
        <f>IFERROR('Data Sheet'!I17,0)</f>
        <v>96420.98</v>
      </c>
      <c r="K6" s="17">
        <f>IFERROR('Data Sheet'!J17,0)</f>
        <v>97894.75</v>
      </c>
      <c r="L6" s="17">
        <f>IFERROR('Data Sheet'!K17,0)</f>
        <v>100468.61</v>
      </c>
      <c r="M6" s="19">
        <f>IFERROR(SUM('Data Sheet'!H42:K42),0)</f>
        <v>111431.39000000001</v>
      </c>
    </row>
    <row r="7" spans="1:14" outlineLevel="1" x14ac:dyDescent="0.3">
      <c r="B7" s="11" t="s">
        <v>55</v>
      </c>
      <c r="C7" s="12">
        <v>0</v>
      </c>
      <c r="D7" s="13">
        <f>D6/C6-1</f>
        <v>-1.6668281651094463E-2</v>
      </c>
      <c r="E7" s="13">
        <f t="shared" ref="E7:M7" si="0">E6/D6-1</f>
        <v>0.12400484134248169</v>
      </c>
      <c r="F7" s="13">
        <f t="shared" si="0"/>
        <v>7.4888567376926174E-2</v>
      </c>
      <c r="G7" s="13">
        <f t="shared" si="0"/>
        <v>-8.9059954067225555E-2</v>
      </c>
      <c r="H7" s="13">
        <f t="shared" si="0"/>
        <v>0.75582243830040263</v>
      </c>
      <c r="I7" s="13">
        <f t="shared" si="0"/>
        <v>0.83721073612888941</v>
      </c>
      <c r="J7" s="13">
        <f t="shared" si="0"/>
        <v>-0.24399123408826284</v>
      </c>
      <c r="K7" s="13">
        <f t="shared" si="0"/>
        <v>1.528474404636837E-2</v>
      </c>
      <c r="L7" s="13">
        <f t="shared" si="0"/>
        <v>2.6292114745683604E-2</v>
      </c>
      <c r="M7" s="20">
        <f t="shared" si="0"/>
        <v>0.10911646931315166</v>
      </c>
    </row>
    <row r="8" spans="1:14" outlineLevel="1" x14ac:dyDescent="0.3">
      <c r="M8" s="21"/>
    </row>
    <row r="9" spans="1:14" outlineLevel="1" x14ac:dyDescent="0.3">
      <c r="B9" s="10" t="s">
        <v>56</v>
      </c>
      <c r="C9" s="17">
        <f>IFERROR(SUM('Data Sheet'!B18,'Data Sheet'!B20:B22)-1*'Data Sheet'!B19,0)</f>
        <v>33410.81</v>
      </c>
      <c r="D9" s="17">
        <f>IFERROR(SUM('Data Sheet'!C18,'Data Sheet'!C20:C22)-1*'Data Sheet'!C19,0)</f>
        <v>32775.110000000008</v>
      </c>
      <c r="E9" s="17">
        <f>IFERROR(SUM('Data Sheet'!D18,'Data Sheet'!D20:D22)-1*'Data Sheet'!D19,0)</f>
        <v>36535.61</v>
      </c>
      <c r="F9" s="17">
        <f>IFERROR(SUM('Data Sheet'!E18,'Data Sheet'!E20:E22)-1*'Data Sheet'!E19,0)</f>
        <v>38471.079999999994</v>
      </c>
      <c r="G9" s="17">
        <f>IFERROR(SUM('Data Sheet'!F18,'Data Sheet'!F20:F22)-1*'Data Sheet'!F19,0)</f>
        <v>35449.46</v>
      </c>
      <c r="H9" s="17">
        <f>IFERROR(SUM('Data Sheet'!G18,'Data Sheet'!G20:G22)-1*'Data Sheet'!G19,0)</f>
        <v>62752.15</v>
      </c>
      <c r="I9" s="17">
        <f>IFERROR(SUM('Data Sheet'!H18,'Data Sheet'!H20:H22)-1*'Data Sheet'!H19,0)</f>
        <v>109762.22</v>
      </c>
      <c r="J9" s="17">
        <f>IFERROR(SUM('Data Sheet'!I18,'Data Sheet'!I20:I22)-1*'Data Sheet'!I19,0)</f>
        <v>75543.69</v>
      </c>
      <c r="K9" s="17">
        <f>IFERROR(SUM('Data Sheet'!J18,'Data Sheet'!J20:J22)-1*'Data Sheet'!J19,0)</f>
        <v>73493.099999999991</v>
      </c>
      <c r="L9" s="17">
        <f>IFERROR(SUM('Data Sheet'!K18,'Data Sheet'!K20:K22)-1*'Data Sheet'!K19,0)</f>
        <v>75523.199999999997</v>
      </c>
      <c r="M9" s="19">
        <f>IFERROR(SUM('Data Sheet'!H43:K43),0)</f>
        <v>95733.27</v>
      </c>
    </row>
    <row r="10" spans="1:14" outlineLevel="1" x14ac:dyDescent="0.3">
      <c r="B10" s="14" t="s">
        <v>61</v>
      </c>
      <c r="C10" s="15">
        <f>C9/C6</f>
        <v>0.91454131978717235</v>
      </c>
      <c r="D10" s="15">
        <f t="shared" ref="D10:M10" si="1">D9/D6</f>
        <v>0.91234781727606595</v>
      </c>
      <c r="E10" s="15">
        <f t="shared" si="1"/>
        <v>0.90482472672446279</v>
      </c>
      <c r="F10" s="15">
        <f t="shared" si="1"/>
        <v>0.88637813069090843</v>
      </c>
      <c r="G10" s="15">
        <f t="shared" si="1"/>
        <v>0.8966118683880191</v>
      </c>
      <c r="H10" s="15">
        <f t="shared" si="1"/>
        <v>0.9039468062456768</v>
      </c>
      <c r="I10" s="15">
        <f t="shared" si="1"/>
        <v>0.86061353541451868</v>
      </c>
      <c r="J10" s="15">
        <f t="shared" si="1"/>
        <v>0.78347772445374442</v>
      </c>
      <c r="K10" s="15">
        <f t="shared" si="1"/>
        <v>0.750735866836577</v>
      </c>
      <c r="L10" s="15">
        <f t="shared" si="1"/>
        <v>0.75170941451265227</v>
      </c>
      <c r="M10" s="22">
        <f t="shared" si="1"/>
        <v>0.85912299936310577</v>
      </c>
    </row>
    <row r="11" spans="1:14" outlineLevel="1" x14ac:dyDescent="0.3">
      <c r="M11" s="21"/>
    </row>
    <row r="12" spans="1:14" outlineLevel="1" x14ac:dyDescent="0.3">
      <c r="B12" s="32" t="s">
        <v>58</v>
      </c>
      <c r="C12" s="33">
        <f>C6-C9</f>
        <v>3122.0500000000029</v>
      </c>
      <c r="D12" s="33">
        <f t="shared" ref="D12:M12" si="2">D6-D9</f>
        <v>3148.8099999999904</v>
      </c>
      <c r="E12" s="33">
        <f t="shared" si="2"/>
        <v>3843.0500000000029</v>
      </c>
      <c r="F12" s="33">
        <f t="shared" si="2"/>
        <v>4931.4800000000032</v>
      </c>
      <c r="G12" s="33">
        <f t="shared" si="2"/>
        <v>4087.6699999999983</v>
      </c>
      <c r="H12" s="33">
        <f t="shared" si="2"/>
        <v>6668.0299999999916</v>
      </c>
      <c r="I12" s="33">
        <f t="shared" si="2"/>
        <v>17777.28</v>
      </c>
      <c r="J12" s="33">
        <f t="shared" si="2"/>
        <v>20877.289999999994</v>
      </c>
      <c r="K12" s="33">
        <f t="shared" si="2"/>
        <v>24401.650000000009</v>
      </c>
      <c r="L12" s="33">
        <f t="shared" si="2"/>
        <v>24945.410000000003</v>
      </c>
      <c r="M12" s="34">
        <f t="shared" si="2"/>
        <v>15698.12000000001</v>
      </c>
    </row>
    <row r="13" spans="1:14" outlineLevel="1" x14ac:dyDescent="0.3">
      <c r="B13" s="12" t="s">
        <v>62</v>
      </c>
      <c r="C13" s="13">
        <f>C12/C6</f>
        <v>8.5458680212827653E-2</v>
      </c>
      <c r="D13" s="13">
        <f t="shared" ref="D13:M13" si="3">D12/D6</f>
        <v>8.7652182723934102E-2</v>
      </c>
      <c r="E13" s="13">
        <f t="shared" si="3"/>
        <v>9.5175273275537195E-2</v>
      </c>
      <c r="F13" s="13">
        <f t="shared" si="3"/>
        <v>0.11362186930909153</v>
      </c>
      <c r="G13" s="13">
        <f t="shared" si="3"/>
        <v>0.1033881316119809</v>
      </c>
      <c r="H13" s="13">
        <f t="shared" si="3"/>
        <v>9.6053193754323196E-2</v>
      </c>
      <c r="I13" s="13">
        <f t="shared" si="3"/>
        <v>0.13938646458548135</v>
      </c>
      <c r="J13" s="13">
        <f t="shared" si="3"/>
        <v>0.21652227554625553</v>
      </c>
      <c r="K13" s="13">
        <f t="shared" si="3"/>
        <v>0.24926413316342305</v>
      </c>
      <c r="L13" s="13">
        <f t="shared" si="3"/>
        <v>0.24829058548734778</v>
      </c>
      <c r="M13" s="20">
        <f t="shared" si="3"/>
        <v>0.14087700063689421</v>
      </c>
      <c r="N13" s="16"/>
    </row>
    <row r="14" spans="1:14" outlineLevel="1" x14ac:dyDescent="0.3">
      <c r="M14" s="21"/>
      <c r="N14" s="16"/>
    </row>
    <row r="15" spans="1:14" outlineLevel="1" x14ac:dyDescent="0.3">
      <c r="B15" t="s">
        <v>59</v>
      </c>
      <c r="C15" s="17">
        <f>IFERROR(SUM('Data Sheet'!B23:B24),0)</f>
        <v>1219.8200000000002</v>
      </c>
      <c r="D15" s="17">
        <f>IFERROR(SUM('Data Sheet'!C23:C24),0)</f>
        <v>1111.0999999999999</v>
      </c>
      <c r="E15" s="17">
        <f>IFERROR(SUM('Data Sheet'!D23:D24),0)</f>
        <v>1873.71</v>
      </c>
      <c r="F15" s="17">
        <f>IFERROR(SUM('Data Sheet'!E23:E24),0)</f>
        <v>2637.09</v>
      </c>
      <c r="G15" s="17">
        <f>IFERROR(SUM('Data Sheet'!F23:F24),0)</f>
        <v>1582.02</v>
      </c>
      <c r="H15" s="17">
        <f>IFERROR(SUM('Data Sheet'!G23:G24),0)</f>
        <v>2954.4300000000003</v>
      </c>
      <c r="I15" s="17">
        <f>IFERROR(SUM('Data Sheet'!H23:H24),0)</f>
        <v>8959.59</v>
      </c>
      <c r="J15" s="17">
        <f>IFERROR(SUM('Data Sheet'!I23:I24),0)</f>
        <v>9500.69</v>
      </c>
      <c r="K15" s="17">
        <f>IFERROR(SUM('Data Sheet'!J23:J24),0)</f>
        <v>10149.619999999999</v>
      </c>
      <c r="L15" s="17">
        <f>IFERROR(SUM('Data Sheet'!K23:K24),0)</f>
        <v>10954.63</v>
      </c>
      <c r="M15" s="19">
        <f>IFERROR(SUM('Data Sheet'!L23:L24),0)</f>
        <v>0</v>
      </c>
    </row>
    <row r="16" spans="1:14" outlineLevel="1" x14ac:dyDescent="0.3">
      <c r="B16" s="14" t="s">
        <v>60</v>
      </c>
      <c r="C16" s="13">
        <f>C15/C6</f>
        <v>3.3389666179981535E-2</v>
      </c>
      <c r="D16" s="13">
        <f t="shared" ref="D16:L16" si="4">D15/D6</f>
        <v>3.0929252709615208E-2</v>
      </c>
      <c r="E16" s="13">
        <f t="shared" si="4"/>
        <v>4.6403471536697848E-2</v>
      </c>
      <c r="F16" s="13">
        <f t="shared" si="4"/>
        <v>6.0758858463648237E-2</v>
      </c>
      <c r="G16" s="13">
        <f t="shared" si="4"/>
        <v>4.0013526525572295E-2</v>
      </c>
      <c r="H16" s="13">
        <f t="shared" si="4"/>
        <v>4.2558662337089888E-2</v>
      </c>
      <c r="I16" s="13">
        <f t="shared" si="4"/>
        <v>7.0249530537598151E-2</v>
      </c>
      <c r="J16" s="13">
        <f t="shared" si="4"/>
        <v>9.8533431209680722E-2</v>
      </c>
      <c r="K16" s="13">
        <f t="shared" si="4"/>
        <v>0.10367890004315859</v>
      </c>
      <c r="L16" s="13">
        <f t="shared" si="4"/>
        <v>0.10903534944894729</v>
      </c>
      <c r="M16" s="21"/>
    </row>
    <row r="17" spans="2:13" outlineLevel="1" x14ac:dyDescent="0.3">
      <c r="M17" s="21"/>
    </row>
    <row r="18" spans="2:13" outlineLevel="1" x14ac:dyDescent="0.3">
      <c r="B18" s="35" t="s">
        <v>109</v>
      </c>
      <c r="C18" s="33">
        <f>C12-C15</f>
        <v>1902.2300000000027</v>
      </c>
      <c r="D18" s="33">
        <f t="shared" ref="D18:L18" si="5">D12-D15</f>
        <v>2037.7099999999905</v>
      </c>
      <c r="E18" s="33">
        <f t="shared" si="5"/>
        <v>1969.3400000000029</v>
      </c>
      <c r="F18" s="33">
        <f t="shared" si="5"/>
        <v>2294.3900000000031</v>
      </c>
      <c r="G18" s="33">
        <f t="shared" si="5"/>
        <v>2505.6499999999983</v>
      </c>
      <c r="H18" s="33">
        <f t="shared" si="5"/>
        <v>3713.5999999999913</v>
      </c>
      <c r="I18" s="33">
        <f t="shared" si="5"/>
        <v>8817.6899999999987</v>
      </c>
      <c r="J18" s="33">
        <f t="shared" si="5"/>
        <v>11376.599999999993</v>
      </c>
      <c r="K18" s="33">
        <f t="shared" si="5"/>
        <v>14252.03000000001</v>
      </c>
      <c r="L18" s="33">
        <f t="shared" si="5"/>
        <v>13990.780000000004</v>
      </c>
      <c r="M18" s="34">
        <f>IFERROR(SUM('Data Sheet'!H42:K42)-SUM('Data Sheet'!H43:K43),0)</f>
        <v>15698.12000000001</v>
      </c>
    </row>
    <row r="19" spans="2:13" outlineLevel="1" x14ac:dyDescent="0.3">
      <c r="B19" s="14" t="s">
        <v>63</v>
      </c>
      <c r="C19" s="13">
        <f>C18/C6</f>
        <v>5.2069014032846118E-2</v>
      </c>
      <c r="D19" s="13">
        <f t="shared" ref="D19:M19" si="6">D18/D6</f>
        <v>5.6722930014318891E-2</v>
      </c>
      <c r="E19" s="13">
        <f t="shared" si="6"/>
        <v>4.8771801738839347E-2</v>
      </c>
      <c r="F19" s="13">
        <f t="shared" si="6"/>
        <v>5.2863010845443294E-2</v>
      </c>
      <c r="G19" s="13">
        <f t="shared" si="6"/>
        <v>6.3374605086408603E-2</v>
      </c>
      <c r="H19" s="13">
        <f t="shared" si="6"/>
        <v>5.3494531417233315E-2</v>
      </c>
      <c r="I19" s="13">
        <f t="shared" si="6"/>
        <v>6.9136934047883195E-2</v>
      </c>
      <c r="J19" s="13">
        <f t="shared" si="6"/>
        <v>0.11798884433657482</v>
      </c>
      <c r="K19" s="13">
        <f t="shared" si="6"/>
        <v>0.14558523312026447</v>
      </c>
      <c r="L19" s="13">
        <f t="shared" si="6"/>
        <v>0.13925523603840048</v>
      </c>
      <c r="M19" s="20">
        <f t="shared" si="6"/>
        <v>0.14087700063689421</v>
      </c>
    </row>
    <row r="20" spans="2:13" outlineLevel="1" x14ac:dyDescent="0.3"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21"/>
    </row>
    <row r="21" spans="2:13" outlineLevel="1" x14ac:dyDescent="0.3">
      <c r="B21" t="s">
        <v>20</v>
      </c>
      <c r="C21" s="17">
        <f>IFERROR('Data Sheet'!B26,0)</f>
        <v>315.45999999999998</v>
      </c>
      <c r="D21" s="17">
        <f>IFERROR('Data Sheet'!C26,0)</f>
        <v>663.92</v>
      </c>
      <c r="E21" s="17">
        <f>IFERROR('Data Sheet'!D26,0)</f>
        <v>389.77</v>
      </c>
      <c r="F21" s="17">
        <f>IFERROR('Data Sheet'!E26,0)</f>
        <v>472.06</v>
      </c>
      <c r="G21" s="17">
        <f>IFERROR('Data Sheet'!F26,0)</f>
        <v>537.14</v>
      </c>
      <c r="H21" s="17">
        <f>IFERROR('Data Sheet'!G26,0)</f>
        <v>1247.78</v>
      </c>
      <c r="I21" s="17">
        <f>IFERROR('Data Sheet'!H26,0)</f>
        <v>2436.14</v>
      </c>
      <c r="J21" s="17">
        <f>IFERROR('Data Sheet'!I26,0)</f>
        <v>3042.15</v>
      </c>
      <c r="K21" s="17">
        <f>IFERROR('Data Sheet'!J26,0)</f>
        <v>4211.33</v>
      </c>
      <c r="L21" s="17">
        <f>IFERROR('Data Sheet'!K26,0)</f>
        <v>6135.34</v>
      </c>
      <c r="M21" s="19">
        <f>IFERROR(SUM('Data Sheet'!H45:K45),0)</f>
        <v>6777.3899999999994</v>
      </c>
    </row>
    <row r="22" spans="2:13" outlineLevel="1" x14ac:dyDescent="0.3">
      <c r="B22" s="14" t="s">
        <v>65</v>
      </c>
      <c r="C22" s="13">
        <f>C21/C6</f>
        <v>8.6349658909814341E-3</v>
      </c>
      <c r="D22" s="13">
        <f t="shared" ref="D22:M22" si="7">D21/D6</f>
        <v>1.8481279325864214E-2</v>
      </c>
      <c r="E22" s="13">
        <f t="shared" si="7"/>
        <v>9.6528710957718734E-3</v>
      </c>
      <c r="F22" s="13">
        <f t="shared" si="7"/>
        <v>1.0876316973008044E-2</v>
      </c>
      <c r="G22" s="13">
        <f t="shared" si="7"/>
        <v>1.3585710444840079E-2</v>
      </c>
      <c r="H22" s="13">
        <f t="shared" si="7"/>
        <v>1.7974312368536065E-2</v>
      </c>
      <c r="I22" s="13">
        <f t="shared" si="7"/>
        <v>1.9101062807992817E-2</v>
      </c>
      <c r="J22" s="13">
        <f t="shared" si="7"/>
        <v>3.1550706080772047E-2</v>
      </c>
      <c r="K22" s="13">
        <f t="shared" si="7"/>
        <v>4.3018956583473579E-2</v>
      </c>
      <c r="L22" s="13">
        <f t="shared" si="7"/>
        <v>6.1067232840187599E-2</v>
      </c>
      <c r="M22" s="20">
        <f t="shared" si="7"/>
        <v>6.0821192304968991E-2</v>
      </c>
    </row>
    <row r="23" spans="2:13" outlineLevel="1" x14ac:dyDescent="0.3"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21"/>
    </row>
    <row r="24" spans="2:13" outlineLevel="1" x14ac:dyDescent="0.3">
      <c r="B24" s="35" t="s">
        <v>110</v>
      </c>
      <c r="C24" s="33">
        <f>C18-C21</f>
        <v>1586.7700000000027</v>
      </c>
      <c r="D24" s="33">
        <f t="shared" ref="D24:M24" si="8">D18-D21</f>
        <v>1373.7899999999904</v>
      </c>
      <c r="E24" s="33">
        <f t="shared" si="8"/>
        <v>1579.5700000000029</v>
      </c>
      <c r="F24" s="33">
        <f t="shared" si="8"/>
        <v>1822.3300000000031</v>
      </c>
      <c r="G24" s="33">
        <f t="shared" si="8"/>
        <v>1968.5099999999984</v>
      </c>
      <c r="H24" s="33">
        <f t="shared" si="8"/>
        <v>2465.8199999999915</v>
      </c>
      <c r="I24" s="33">
        <f t="shared" si="8"/>
        <v>6381.5499999999993</v>
      </c>
      <c r="J24" s="33">
        <f t="shared" si="8"/>
        <v>8334.4499999999935</v>
      </c>
      <c r="K24" s="33">
        <f t="shared" si="8"/>
        <v>10040.70000000001</v>
      </c>
      <c r="L24" s="33">
        <f t="shared" si="8"/>
        <v>7855.4400000000041</v>
      </c>
      <c r="M24" s="34">
        <f t="shared" si="8"/>
        <v>8920.7300000000105</v>
      </c>
    </row>
    <row r="25" spans="2:13" outlineLevel="1" x14ac:dyDescent="0.3">
      <c r="B25" s="14" t="s">
        <v>77</v>
      </c>
      <c r="C25" s="13">
        <f>C24/C6</f>
        <v>4.3434048141864683E-2</v>
      </c>
      <c r="D25" s="13">
        <f t="shared" ref="D25:M25" si="9">D24/D6</f>
        <v>3.824165068845467E-2</v>
      </c>
      <c r="E25" s="13">
        <f t="shared" si="9"/>
        <v>3.911893064306747E-2</v>
      </c>
      <c r="F25" s="13">
        <f t="shared" si="9"/>
        <v>4.1986693872435248E-2</v>
      </c>
      <c r="G25" s="13">
        <f t="shared" si="9"/>
        <v>4.9788894641568535E-2</v>
      </c>
      <c r="H25" s="13">
        <f t="shared" si="9"/>
        <v>3.5520219048697246E-2</v>
      </c>
      <c r="I25" s="13">
        <f t="shared" si="9"/>
        <v>5.0035871239890381E-2</v>
      </c>
      <c r="J25" s="13">
        <f t="shared" si="9"/>
        <v>8.6438138255802766E-2</v>
      </c>
      <c r="K25" s="13">
        <f t="shared" si="9"/>
        <v>0.10256627653679089</v>
      </c>
      <c r="L25" s="13">
        <f t="shared" si="9"/>
        <v>7.8188003198212896E-2</v>
      </c>
      <c r="M25" s="20">
        <f t="shared" si="9"/>
        <v>8.0055808331925229E-2</v>
      </c>
    </row>
    <row r="26" spans="2:13" outlineLevel="1" x14ac:dyDescent="0.3"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21"/>
    </row>
    <row r="27" spans="2:13" outlineLevel="1" x14ac:dyDescent="0.3">
      <c r="B27" t="s">
        <v>79</v>
      </c>
      <c r="C27" s="17">
        <f>IFERROR('Data Sheet'!B25,0)</f>
        <v>749.41</v>
      </c>
      <c r="D27" s="17">
        <f>IFERROR('Data Sheet'!C25,0)</f>
        <v>363.21</v>
      </c>
      <c r="E27" s="17">
        <f>IFERROR('Data Sheet'!D25,0)</f>
        <v>504.22</v>
      </c>
      <c r="F27" s="17">
        <f>IFERROR('Data Sheet'!E25,0)</f>
        <v>872.32</v>
      </c>
      <c r="G27" s="17">
        <f>IFERROR('Data Sheet'!F25,0)</f>
        <v>494.31</v>
      </c>
      <c r="H27" s="17">
        <f>IFERROR('Data Sheet'!G25,0)</f>
        <v>1012.11</v>
      </c>
      <c r="I27" s="17">
        <f>IFERROR('Data Sheet'!H25,0)</f>
        <v>834.23</v>
      </c>
      <c r="J27" s="17">
        <f>IFERROR('Data Sheet'!I25,0)</f>
        <v>1146.3900000000001</v>
      </c>
      <c r="K27" s="17">
        <f>IFERROR('Data Sheet'!J25,0)</f>
        <v>6403.1</v>
      </c>
      <c r="L27" s="17">
        <f>IFERROR('Data Sheet'!K25,0)</f>
        <v>11688.34</v>
      </c>
      <c r="M27" s="21">
        <f>IFERROR(SUM('Data Sheet'!H44:K44),0)</f>
        <v>9192.8399999999983</v>
      </c>
    </row>
    <row r="28" spans="2:13" outlineLevel="1" x14ac:dyDescent="0.3">
      <c r="B28" s="14" t="s">
        <v>80</v>
      </c>
      <c r="C28" s="13">
        <f>C27/C6</f>
        <v>2.0513313219934052E-2</v>
      </c>
      <c r="D28" s="13">
        <f t="shared" ref="D28:M28" si="10">D27/D6</f>
        <v>1.0110533594329349E-2</v>
      </c>
      <c r="E28" s="13">
        <f t="shared" si="10"/>
        <v>1.2487289077943647E-2</v>
      </c>
      <c r="F28" s="13">
        <f t="shared" si="10"/>
        <v>2.0098353645499254E-2</v>
      </c>
      <c r="G28" s="13">
        <f t="shared" si="10"/>
        <v>1.2502424935750269E-2</v>
      </c>
      <c r="H28" s="13">
        <f t="shared" si="10"/>
        <v>1.4579478186314125E-2</v>
      </c>
      <c r="I28" s="13">
        <f t="shared" si="10"/>
        <v>6.5409539789633804E-3</v>
      </c>
      <c r="J28" s="13">
        <f t="shared" si="10"/>
        <v>1.1889424894872465E-2</v>
      </c>
      <c r="K28" s="13">
        <f t="shared" si="10"/>
        <v>6.5408001961290069E-2</v>
      </c>
      <c r="L28" s="13">
        <f t="shared" si="10"/>
        <v>0.1163382274324289</v>
      </c>
      <c r="M28" s="20">
        <f t="shared" si="10"/>
        <v>8.2497759383599156E-2</v>
      </c>
    </row>
    <row r="29" spans="2:13" outlineLevel="1" x14ac:dyDescent="0.3">
      <c r="M29" s="21"/>
    </row>
    <row r="30" spans="2:13" outlineLevel="1" x14ac:dyDescent="0.3">
      <c r="B30" t="s">
        <v>21</v>
      </c>
      <c r="C30" s="17">
        <f>IFERROR('Data Sheet'!B27,0)</f>
        <v>1257.31</v>
      </c>
      <c r="D30" s="17">
        <f>IFERROR('Data Sheet'!C27,0)</f>
        <v>1250.17</v>
      </c>
      <c r="E30" s="17">
        <f>IFERROR('Data Sheet'!D27,0)</f>
        <v>1625.07</v>
      </c>
      <c r="F30" s="17">
        <f>IFERROR('Data Sheet'!E27,0)</f>
        <v>1572.32</v>
      </c>
      <c r="G30" s="17">
        <f>IFERROR('Data Sheet'!F27,0)</f>
        <v>1376.85</v>
      </c>
      <c r="H30" s="17">
        <f>IFERROR('Data Sheet'!G27,0)</f>
        <v>2525.88</v>
      </c>
      <c r="I30" s="17">
        <f>IFERROR('Data Sheet'!H27,0)</f>
        <v>3968.9</v>
      </c>
      <c r="J30" s="17">
        <f>IFERROR('Data Sheet'!I27,0)</f>
        <v>4554.7</v>
      </c>
      <c r="K30" s="17">
        <f>IFERROR('Data Sheet'!J27,0)</f>
        <v>5978.02</v>
      </c>
      <c r="L30" s="17">
        <f>IFERROR('Data Sheet'!K27,0)</f>
        <v>6019.12</v>
      </c>
      <c r="M30" s="21">
        <f>IFERROR(SUM('Data Sheet'!H46:K46),0)</f>
        <v>7404.57</v>
      </c>
    </row>
    <row r="31" spans="2:13" outlineLevel="1" x14ac:dyDescent="0.3">
      <c r="B31" s="14" t="s">
        <v>64</v>
      </c>
      <c r="C31" s="13">
        <f t="shared" ref="C31:M31" si="11">C30/C6</f>
        <v>3.4415865607017898E-2</v>
      </c>
      <c r="D31" s="13">
        <f t="shared" si="11"/>
        <v>3.4800489478876477E-2</v>
      </c>
      <c r="E31" s="13">
        <f t="shared" si="11"/>
        <v>4.0245763480016419E-2</v>
      </c>
      <c r="F31" s="13">
        <f t="shared" si="11"/>
        <v>3.6226434569758097E-2</v>
      </c>
      <c r="G31" s="13">
        <f t="shared" si="11"/>
        <v>3.4824227251699855E-2</v>
      </c>
      <c r="H31" s="13">
        <f t="shared" si="11"/>
        <v>3.6385385344722534E-2</v>
      </c>
      <c r="I31" s="13">
        <f t="shared" si="11"/>
        <v>3.1118986666875754E-2</v>
      </c>
      <c r="J31" s="13">
        <f t="shared" si="11"/>
        <v>4.7237644753247689E-2</v>
      </c>
      <c r="K31" s="13">
        <f t="shared" si="11"/>
        <v>6.1065787491157597E-2</v>
      </c>
      <c r="L31" s="13">
        <f t="shared" si="11"/>
        <v>5.9910453623275968E-2</v>
      </c>
      <c r="M31" s="20">
        <f t="shared" si="11"/>
        <v>6.6449588396949893E-2</v>
      </c>
    </row>
    <row r="32" spans="2:13" outlineLevel="1" x14ac:dyDescent="0.3">
      <c r="M32" s="21"/>
    </row>
    <row r="33" spans="2:13" outlineLevel="1" x14ac:dyDescent="0.3">
      <c r="B33" s="35" t="s">
        <v>66</v>
      </c>
      <c r="C33" s="33">
        <f>IFERROR(SUM(C24,C27)-C30,0)</f>
        <v>1078.8700000000026</v>
      </c>
      <c r="D33" s="33">
        <f t="shared" ref="D33:M33" si="12">IFERROR(SUM(D24,D27)-D30,0)</f>
        <v>486.82999999999038</v>
      </c>
      <c r="E33" s="33">
        <f t="shared" si="12"/>
        <v>458.72000000000276</v>
      </c>
      <c r="F33" s="33">
        <f t="shared" si="12"/>
        <v>1122.3300000000033</v>
      </c>
      <c r="G33" s="33">
        <f t="shared" si="12"/>
        <v>1085.9699999999984</v>
      </c>
      <c r="H33" s="33">
        <f t="shared" si="12"/>
        <v>952.04999999999154</v>
      </c>
      <c r="I33" s="33">
        <f t="shared" si="12"/>
        <v>3246.8799999999987</v>
      </c>
      <c r="J33" s="33">
        <f t="shared" si="12"/>
        <v>4926.1399999999931</v>
      </c>
      <c r="K33" s="33">
        <f t="shared" si="12"/>
        <v>10465.78000000001</v>
      </c>
      <c r="L33" s="33">
        <f t="shared" si="12"/>
        <v>13524.660000000007</v>
      </c>
      <c r="M33" s="34">
        <f t="shared" si="12"/>
        <v>10709.000000000007</v>
      </c>
    </row>
    <row r="34" spans="2:13" outlineLevel="1" x14ac:dyDescent="0.3">
      <c r="B34" s="14" t="s">
        <v>67</v>
      </c>
      <c r="C34" s="13">
        <f t="shared" ref="C34:M34" si="13">C33/C6</f>
        <v>2.9531495754780836E-2</v>
      </c>
      <c r="D34" s="13">
        <f t="shared" si="13"/>
        <v>1.3551694803907548E-2</v>
      </c>
      <c r="E34" s="13">
        <f t="shared" si="13"/>
        <v>1.1360456240994691E-2</v>
      </c>
      <c r="F34" s="13">
        <f t="shared" si="13"/>
        <v>2.5858612948176408E-2</v>
      </c>
      <c r="G34" s="13">
        <f t="shared" si="13"/>
        <v>2.7467092325618944E-2</v>
      </c>
      <c r="H34" s="13">
        <f t="shared" si="13"/>
        <v>1.3714311890288841E-2</v>
      </c>
      <c r="I34" s="13">
        <f t="shared" si="13"/>
        <v>2.5457838551978005E-2</v>
      </c>
      <c r="J34" s="13">
        <f t="shared" si="13"/>
        <v>5.1089918397427547E-2</v>
      </c>
      <c r="K34" s="13">
        <f t="shared" si="13"/>
        <v>0.10690849100692335</v>
      </c>
      <c r="L34" s="13">
        <f t="shared" si="13"/>
        <v>0.13461577700736585</v>
      </c>
      <c r="M34" s="20">
        <f t="shared" si="13"/>
        <v>9.6103979318574465E-2</v>
      </c>
    </row>
    <row r="35" spans="2:13" outlineLevel="1" x14ac:dyDescent="0.3">
      <c r="M35" s="21"/>
    </row>
    <row r="36" spans="2:13" outlineLevel="1" x14ac:dyDescent="0.3">
      <c r="B36" t="s">
        <v>23</v>
      </c>
      <c r="C36" s="17">
        <f>IFERROR('Data Sheet'!B29,0)</f>
        <v>271.14999999999998</v>
      </c>
      <c r="D36" s="17">
        <f>IFERROR('Data Sheet'!C29,0)</f>
        <v>112.11</v>
      </c>
      <c r="E36" s="17">
        <f>IFERROR('Data Sheet'!D29,0)</f>
        <v>144.54</v>
      </c>
      <c r="F36" s="17">
        <f>IFERROR('Data Sheet'!E29,0)</f>
        <v>324.33</v>
      </c>
      <c r="G36" s="17">
        <f>IFERROR('Data Sheet'!F29,0)</f>
        <v>339.65</v>
      </c>
      <c r="H36" s="17">
        <f>IFERROR('Data Sheet'!G29,0)</f>
        <v>476.68</v>
      </c>
      <c r="I36" s="17">
        <f>IFERROR('Data Sheet'!H29,0)</f>
        <v>1037.94</v>
      </c>
      <c r="J36" s="17">
        <f>IFERROR('Data Sheet'!I29,0)</f>
        <v>1631.51</v>
      </c>
      <c r="K36" s="17">
        <f>IFERROR('Data Sheet'!J29,0)</f>
        <v>2968.52</v>
      </c>
      <c r="L36" s="17">
        <f>IFERROR('Data Sheet'!K29,0)</f>
        <v>3831.15</v>
      </c>
      <c r="M36" s="21">
        <f>IFERROR(SUM('Data Sheet'!H48:K48),0)</f>
        <v>3478.9399999999996</v>
      </c>
    </row>
    <row r="37" spans="2:13" outlineLevel="1" x14ac:dyDescent="0.3">
      <c r="B37" s="14" t="s">
        <v>68</v>
      </c>
      <c r="C37" s="13">
        <f>C36/C33</f>
        <v>0.25132777813823659</v>
      </c>
      <c r="D37" s="13">
        <f t="shared" ref="D37:K37" si="14">D36/D33</f>
        <v>0.23028572602346242</v>
      </c>
      <c r="E37" s="13">
        <f t="shared" si="14"/>
        <v>0.31509417509591719</v>
      </c>
      <c r="F37" s="13">
        <f t="shared" si="14"/>
        <v>0.2889791772473328</v>
      </c>
      <c r="G37" s="13">
        <f t="shared" si="14"/>
        <v>0.31276186266655659</v>
      </c>
      <c r="H37" s="13">
        <f t="shared" si="14"/>
        <v>0.50068798907620848</v>
      </c>
      <c r="I37" s="13">
        <f t="shared" si="14"/>
        <v>0.3196730399645199</v>
      </c>
      <c r="J37" s="13">
        <f t="shared" si="14"/>
        <v>0.33119440373192849</v>
      </c>
      <c r="K37" s="13">
        <f t="shared" si="14"/>
        <v>0.28364058866133218</v>
      </c>
      <c r="L37" s="13">
        <f>L36/L33</f>
        <v>0.28327144638016766</v>
      </c>
      <c r="M37" s="20">
        <f>M36/M33</f>
        <v>0.32486133159025093</v>
      </c>
    </row>
    <row r="38" spans="2:13" outlineLevel="1" x14ac:dyDescent="0.3">
      <c r="M38" s="21"/>
    </row>
    <row r="39" spans="2:13" outlineLevel="1" x14ac:dyDescent="0.3">
      <c r="B39" s="35" t="s">
        <v>69</v>
      </c>
      <c r="C39" s="33">
        <f>C33-C36</f>
        <v>807.72000000000264</v>
      </c>
      <c r="D39" s="33">
        <f t="shared" ref="D39:M39" si="15">D33-D36</f>
        <v>374.71999999999036</v>
      </c>
      <c r="E39" s="33">
        <f t="shared" si="15"/>
        <v>314.18000000000279</v>
      </c>
      <c r="F39" s="33">
        <f t="shared" si="15"/>
        <v>798.00000000000341</v>
      </c>
      <c r="G39" s="33">
        <f t="shared" si="15"/>
        <v>746.31999999999846</v>
      </c>
      <c r="H39" s="33">
        <f t="shared" si="15"/>
        <v>475.36999999999153</v>
      </c>
      <c r="I39" s="33">
        <f t="shared" si="15"/>
        <v>2208.9399999999987</v>
      </c>
      <c r="J39" s="33">
        <f t="shared" si="15"/>
        <v>3294.6299999999928</v>
      </c>
      <c r="K39" s="33">
        <f t="shared" si="15"/>
        <v>7497.2600000000093</v>
      </c>
      <c r="L39" s="33">
        <f t="shared" si="15"/>
        <v>9693.5100000000075</v>
      </c>
      <c r="M39" s="34">
        <f t="shared" si="15"/>
        <v>7230.0600000000077</v>
      </c>
    </row>
    <row r="40" spans="2:13" outlineLevel="1" x14ac:dyDescent="0.3">
      <c r="B40" s="14" t="s">
        <v>70</v>
      </c>
      <c r="C40" s="13">
        <f>C39/C6</f>
        <v>2.2109410541633002E-2</v>
      </c>
      <c r="D40" s="13">
        <f t="shared" ref="D40:M40" si="16">D39/D6</f>
        <v>1.0430932927141314E-2</v>
      </c>
      <c r="E40" s="13">
        <f t="shared" si="16"/>
        <v>7.7808426530252056E-3</v>
      </c>
      <c r="F40" s="13">
        <f t="shared" si="16"/>
        <v>1.8386012253655163E-2</v>
      </c>
      <c r="G40" s="13">
        <f t="shared" si="16"/>
        <v>1.8876433367824082E-2</v>
      </c>
      <c r="H40" s="13">
        <f t="shared" si="16"/>
        <v>6.8477206483761868E-3</v>
      </c>
      <c r="I40" s="13">
        <f t="shared" si="16"/>
        <v>1.7319653911141243E-2</v>
      </c>
      <c r="J40" s="13">
        <f t="shared" si="16"/>
        <v>3.4169223337078641E-2</v>
      </c>
      <c r="K40" s="13">
        <f t="shared" si="16"/>
        <v>7.6584903684824873E-2</v>
      </c>
      <c r="L40" s="13">
        <f t="shared" si="16"/>
        <v>9.6482971148899213E-2</v>
      </c>
      <c r="M40" s="20">
        <f t="shared" si="16"/>
        <v>6.4883512626020434E-2</v>
      </c>
    </row>
    <row r="41" spans="2:13" outlineLevel="1" x14ac:dyDescent="0.3"/>
    <row r="42" spans="2:13" outlineLevel="1" x14ac:dyDescent="0.3">
      <c r="B42" t="s">
        <v>71</v>
      </c>
      <c r="C42">
        <f>IFERROR('Data Sheet'!B93,0)</f>
        <v>123.18</v>
      </c>
      <c r="D42">
        <f>IFERROR('Data Sheet'!C93,0)</f>
        <v>123.18</v>
      </c>
      <c r="E42">
        <f>IFERROR('Data Sheet'!D93,0)</f>
        <v>123.18</v>
      </c>
      <c r="F42">
        <f>IFERROR('Data Sheet'!E93,0)</f>
        <v>123.18</v>
      </c>
      <c r="G42">
        <f>IFERROR('Data Sheet'!F93,0)</f>
        <v>123.18</v>
      </c>
      <c r="H42">
        <f>IFERROR('Data Sheet'!G93,0)</f>
        <v>123.18</v>
      </c>
      <c r="I42">
        <f>IFERROR('Data Sheet'!H93,0)</f>
        <v>127.68</v>
      </c>
      <c r="J42">
        <f>IFERROR('Data Sheet'!I93,0)</f>
        <v>127.68</v>
      </c>
      <c r="K42">
        <f>IFERROR('Data Sheet'!J93,0)</f>
        <v>129.27000000000001</v>
      </c>
      <c r="L42">
        <f>IFERROR('Data Sheet'!K93,0)</f>
        <v>129.16</v>
      </c>
    </row>
    <row r="43" spans="2:13" outlineLevel="1" x14ac:dyDescent="0.3"/>
    <row r="44" spans="2:13" outlineLevel="1" x14ac:dyDescent="0.3">
      <c r="B44" t="s">
        <v>72</v>
      </c>
      <c r="C44" s="16">
        <f>IFERROR(C39/C42,0)</f>
        <v>6.5572333170969523</v>
      </c>
      <c r="D44" s="16">
        <f t="shared" ref="D44:L44" si="17">IFERROR(D39/D42,0)</f>
        <v>3.0420522812144046</v>
      </c>
      <c r="E44" s="16">
        <f t="shared" si="17"/>
        <v>2.5505763922714952</v>
      </c>
      <c r="F44" s="16">
        <f t="shared" si="17"/>
        <v>6.4783244033122536</v>
      </c>
      <c r="G44" s="16">
        <f t="shared" si="17"/>
        <v>6.0587757752881837</v>
      </c>
      <c r="H44" s="16">
        <f t="shared" si="17"/>
        <v>3.8591492125344335</v>
      </c>
      <c r="I44" s="16">
        <f t="shared" si="17"/>
        <v>17.300595238095227</v>
      </c>
      <c r="J44" s="16">
        <f t="shared" si="17"/>
        <v>25.803806390977385</v>
      </c>
      <c r="K44" s="16">
        <f t="shared" si="17"/>
        <v>57.996905701245524</v>
      </c>
      <c r="L44" s="16">
        <f t="shared" si="17"/>
        <v>75.050402601424651</v>
      </c>
    </row>
    <row r="45" spans="2:13" outlineLevel="1" x14ac:dyDescent="0.3">
      <c r="B45" s="14" t="s">
        <v>73</v>
      </c>
      <c r="C45" s="13">
        <v>0</v>
      </c>
      <c r="D45" s="13">
        <f>D44/C44-1</f>
        <v>-0.53607685831725205</v>
      </c>
      <c r="E45" s="13">
        <f t="shared" ref="E45:L45" si="18">E44/D44-1</f>
        <v>-0.16156063193848513</v>
      </c>
      <c r="F45" s="13">
        <f t="shared" si="18"/>
        <v>1.5399452543128027</v>
      </c>
      <c r="G45" s="13">
        <f t="shared" si="18"/>
        <v>-6.4761904761910682E-2</v>
      </c>
      <c r="H45" s="13">
        <f t="shared" si="18"/>
        <v>-0.36304802229607602</v>
      </c>
      <c r="I45" s="13">
        <f t="shared" si="18"/>
        <v>3.4830075970898626</v>
      </c>
      <c r="J45" s="13">
        <f t="shared" si="18"/>
        <v>0.49149818464964867</v>
      </c>
      <c r="K45" s="13">
        <f t="shared" si="18"/>
        <v>1.2476104812786399</v>
      </c>
      <c r="L45" s="13">
        <f t="shared" si="18"/>
        <v>0.29404149573126093</v>
      </c>
    </row>
    <row r="46" spans="2:13" outlineLevel="1" x14ac:dyDescent="0.3"/>
    <row r="47" spans="2:13" outlineLevel="1" x14ac:dyDescent="0.3">
      <c r="B47" t="s">
        <v>74</v>
      </c>
      <c r="C47" s="16">
        <f>IFERROR('Data Sheet'!B31/C42,0)</f>
        <v>0.35711966228283815</v>
      </c>
      <c r="D47" s="16">
        <f>IFERROR('Data Sheet'!C31/D42,0)</f>
        <v>0.35711966228283815</v>
      </c>
      <c r="E47" s="16">
        <f>IFERROR('Data Sheet'!D31/E42,0)</f>
        <v>0.35711966228283815</v>
      </c>
      <c r="F47" s="16">
        <f>IFERROR('Data Sheet'!E31/F42,0)</f>
        <v>0.89283974671212862</v>
      </c>
      <c r="G47" s="16">
        <f>IFERROR('Data Sheet'!F31/G42,0)</f>
        <v>0.89283974671212862</v>
      </c>
      <c r="H47" s="16">
        <f>IFERROR('Data Sheet'!G31/H42,0)</f>
        <v>0.89283974671212862</v>
      </c>
      <c r="I47" s="16">
        <f>IFERROR('Data Sheet'!H31/I42,0)</f>
        <v>1.0714285714285714</v>
      </c>
      <c r="J47" s="16">
        <f>IFERROR('Data Sheet'!I31/J42,0)</f>
        <v>1.1607142857142856</v>
      </c>
      <c r="K47" s="16">
        <f>IFERROR('Data Sheet'!J31/K42,0)</f>
        <v>1.1607488202985998</v>
      </c>
      <c r="L47" s="16">
        <f>IFERROR('Data Sheet'!K31/L42,0)</f>
        <v>1.3007897181790027</v>
      </c>
    </row>
    <row r="48" spans="2:13" outlineLevel="1" x14ac:dyDescent="0.3">
      <c r="B48" s="14" t="s">
        <v>75</v>
      </c>
      <c r="C48" s="23">
        <f>IFERROR(C47/C44,0)</f>
        <v>5.4461942257217677E-2</v>
      </c>
      <c r="D48" s="23">
        <f t="shared" ref="D48:L48" si="19">IFERROR(D47/D44,0)</f>
        <v>0.11739432109308587</v>
      </c>
      <c r="E48" s="23">
        <f t="shared" si="19"/>
        <v>0.14001527786619011</v>
      </c>
      <c r="F48" s="23">
        <f t="shared" si="19"/>
        <v>0.13781954887217987</v>
      </c>
      <c r="G48" s="23">
        <f t="shared" si="19"/>
        <v>0.14736306142137451</v>
      </c>
      <c r="H48" s="23">
        <f t="shared" si="19"/>
        <v>0.23135662746913344</v>
      </c>
      <c r="I48" s="23">
        <f t="shared" si="19"/>
        <v>6.1930156545673527E-2</v>
      </c>
      <c r="J48" s="23">
        <f t="shared" si="19"/>
        <v>4.4982289361779719E-2</v>
      </c>
      <c r="K48" s="23">
        <f t="shared" si="19"/>
        <v>2.0013978440123436E-2</v>
      </c>
      <c r="L48" s="23">
        <f t="shared" si="19"/>
        <v>1.7332215059354131E-2</v>
      </c>
    </row>
    <row r="49" spans="1:13" outlineLevel="1" x14ac:dyDescent="0.3"/>
    <row r="50" spans="1:13" outlineLevel="1" x14ac:dyDescent="0.3">
      <c r="B50" t="s">
        <v>76</v>
      </c>
      <c r="C50" s="25">
        <f>IFERROR(IF(C44&gt;C47,1-C48,0),0)</f>
        <v>0.94553805774278232</v>
      </c>
      <c r="D50" s="25">
        <f t="shared" ref="D50:L50" si="20">IFERROR(IF(D44&gt;D47,1-D48,0),0)</f>
        <v>0.8826056789069141</v>
      </c>
      <c r="E50" s="25">
        <f t="shared" si="20"/>
        <v>0.85998472213380994</v>
      </c>
      <c r="F50" s="25">
        <f t="shared" si="20"/>
        <v>0.86218045112782016</v>
      </c>
      <c r="G50" s="25">
        <f t="shared" si="20"/>
        <v>0.85263693857862544</v>
      </c>
      <c r="H50" s="25">
        <f t="shared" si="20"/>
        <v>0.76864337253086656</v>
      </c>
      <c r="I50" s="25">
        <f t="shared" si="20"/>
        <v>0.93806984345432642</v>
      </c>
      <c r="J50" s="25">
        <f t="shared" si="20"/>
        <v>0.95501771063822027</v>
      </c>
      <c r="K50" s="25">
        <f t="shared" si="20"/>
        <v>0.97998602155987657</v>
      </c>
      <c r="L50" s="25">
        <f t="shared" si="20"/>
        <v>0.98266778494064588</v>
      </c>
    </row>
    <row r="52" spans="1:13" x14ac:dyDescent="0.3">
      <c r="A52" t="s">
        <v>54</v>
      </c>
      <c r="B52" s="9" t="str">
        <f>"Balance Sheet"</f>
        <v>Balance Sheet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outlineLevel="1" x14ac:dyDescent="0.3">
      <c r="B53" s="7" t="s">
        <v>30</v>
      </c>
      <c r="C53" s="17">
        <f>IFERROR('Data Sheet'!B57,0)</f>
        <v>109.98</v>
      </c>
      <c r="D53" s="17">
        <f>IFERROR('Data Sheet'!C57,0)</f>
        <v>109.98</v>
      </c>
      <c r="E53" s="17">
        <f>IFERROR('Data Sheet'!D57,0)</f>
        <v>109.98</v>
      </c>
      <c r="F53" s="17">
        <f>IFERROR('Data Sheet'!E57,0)</f>
        <v>109.98</v>
      </c>
      <c r="G53" s="17">
        <f>IFERROR('Data Sheet'!F57,0)</f>
        <v>109.98</v>
      </c>
      <c r="H53" s="17">
        <f>IFERROR('Data Sheet'!G57,0)</f>
        <v>109.98</v>
      </c>
      <c r="I53" s="17">
        <f>IFERROR('Data Sheet'!H57,0)</f>
        <v>114</v>
      </c>
      <c r="J53" s="17">
        <f>IFERROR('Data Sheet'!I57,0)</f>
        <v>114</v>
      </c>
      <c r="K53" s="17">
        <f>IFERROR('Data Sheet'!J57,0)</f>
        <v>115.42</v>
      </c>
      <c r="L53" s="17">
        <f>IFERROR('Data Sheet'!K57,0)</f>
        <v>129.24</v>
      </c>
    </row>
    <row r="54" spans="1:13" outlineLevel="1" x14ac:dyDescent="0.3">
      <c r="B54" s="7" t="s">
        <v>31</v>
      </c>
      <c r="C54" s="17">
        <f>IFERROR('Data Sheet'!B58,0)</f>
        <v>14025.99</v>
      </c>
      <c r="D54" s="17">
        <f>IFERROR('Data Sheet'!C58,0)</f>
        <v>14979.19</v>
      </c>
      <c r="E54" s="17">
        <f>IFERROR('Data Sheet'!D58,0)</f>
        <v>14645.96</v>
      </c>
      <c r="F54" s="17">
        <f>IFERROR('Data Sheet'!E58,0)</f>
        <v>16836.59</v>
      </c>
      <c r="G54" s="17">
        <f>IFERROR('Data Sheet'!F58,0)</f>
        <v>17048.59</v>
      </c>
      <c r="H54" s="17">
        <f>IFERROR('Data Sheet'!G58,0)</f>
        <v>22146.53</v>
      </c>
      <c r="I54" s="17">
        <f>IFERROR('Data Sheet'!H58,0)</f>
        <v>32937.01</v>
      </c>
      <c r="J54" s="17">
        <f>IFERROR('Data Sheet'!I58,0)</f>
        <v>38962.089999999997</v>
      </c>
      <c r="K54" s="17">
        <f>IFERROR('Data Sheet'!J58,0)</f>
        <v>50198.55</v>
      </c>
      <c r="L54" s="17">
        <f>IFERROR('Data Sheet'!K58,0)</f>
        <v>80796.710000000006</v>
      </c>
    </row>
    <row r="55" spans="1:13" outlineLevel="1" x14ac:dyDescent="0.3">
      <c r="B55" s="7" t="s">
        <v>32</v>
      </c>
      <c r="C55" s="17">
        <f>IFERROR('Data Sheet'!B59,0)</f>
        <v>20845.72</v>
      </c>
      <c r="D55" s="17">
        <f>IFERROR('Data Sheet'!C59,0)</f>
        <v>17636.689999999999</v>
      </c>
      <c r="E55" s="17">
        <f>IFERROR('Data Sheet'!D59,0)</f>
        <v>11243.2</v>
      </c>
      <c r="F55" s="17">
        <f>IFERROR('Data Sheet'!E59,0)</f>
        <v>12419.3</v>
      </c>
      <c r="G55" s="17">
        <f>IFERROR('Data Sheet'!F59,0)</f>
        <v>16227.06</v>
      </c>
      <c r="H55" s="17">
        <f>IFERROR('Data Sheet'!G59,0)</f>
        <v>41604.03</v>
      </c>
      <c r="I55" s="17">
        <f>IFERROR('Data Sheet'!H59,0)</f>
        <v>53200.46</v>
      </c>
      <c r="J55" s="17">
        <f>IFERROR('Data Sheet'!I59,0)</f>
        <v>65310.15</v>
      </c>
      <c r="K55" s="17">
        <f>IFERROR('Data Sheet'!J59,0)</f>
        <v>91472.6</v>
      </c>
      <c r="L55" s="17">
        <f>IFERROR('Data Sheet'!K59,0)</f>
        <v>106621.79</v>
      </c>
    </row>
    <row r="56" spans="1:13" outlineLevel="1" x14ac:dyDescent="0.3">
      <c r="B56" s="7" t="s">
        <v>33</v>
      </c>
      <c r="C56" s="17">
        <f>IFERROR('Data Sheet'!B60,0)</f>
        <v>12629.78</v>
      </c>
      <c r="D56" s="17">
        <f>IFERROR('Data Sheet'!C60,0)</f>
        <v>23679.48</v>
      </c>
      <c r="E56" s="17">
        <f>IFERROR('Data Sheet'!D60,0)</f>
        <v>16537.04</v>
      </c>
      <c r="F56" s="17">
        <f>IFERROR('Data Sheet'!E60,0)</f>
        <v>17509.189999999999</v>
      </c>
      <c r="G56" s="17">
        <f>IFERROR('Data Sheet'!F60,0)</f>
        <v>18231.09</v>
      </c>
      <c r="H56" s="17">
        <f>IFERROR('Data Sheet'!G60,0)</f>
        <v>37725.82</v>
      </c>
      <c r="I56" s="17">
        <f>IFERROR('Data Sheet'!H60,0)</f>
        <v>55027.01</v>
      </c>
      <c r="J56" s="17">
        <f>IFERROR('Data Sheet'!I60,0)</f>
        <v>56200</v>
      </c>
      <c r="K56" s="17">
        <f>IFERROR('Data Sheet'!J60,0)</f>
        <v>56056.31</v>
      </c>
      <c r="L56" s="17">
        <f>IFERROR('Data Sheet'!K60,0)</f>
        <v>73320.639999999999</v>
      </c>
    </row>
    <row r="57" spans="1:13" outlineLevel="1" x14ac:dyDescent="0.3">
      <c r="B57" s="35" t="s">
        <v>82</v>
      </c>
      <c r="C57" s="33">
        <f>IFERROR(SUM(C53:C56),0)</f>
        <v>47611.47</v>
      </c>
      <c r="D57" s="33">
        <f t="shared" ref="D57:L57" si="21">IFERROR(SUM(D53:D56),0)</f>
        <v>56405.34</v>
      </c>
      <c r="E57" s="33">
        <f t="shared" si="21"/>
        <v>42536.18</v>
      </c>
      <c r="F57" s="33">
        <f t="shared" si="21"/>
        <v>46875.06</v>
      </c>
      <c r="G57" s="33">
        <f t="shared" si="21"/>
        <v>51616.72</v>
      </c>
      <c r="H57" s="33">
        <f t="shared" si="21"/>
        <v>101586.35999999999</v>
      </c>
      <c r="I57" s="33">
        <f t="shared" si="21"/>
        <v>141278.48000000001</v>
      </c>
      <c r="J57" s="33">
        <f t="shared" si="21"/>
        <v>160586.23999999999</v>
      </c>
      <c r="K57" s="33">
        <f t="shared" si="21"/>
        <v>197842.88</v>
      </c>
      <c r="L57" s="33">
        <f t="shared" si="21"/>
        <v>260868.38</v>
      </c>
    </row>
    <row r="58" spans="1:13" outlineLevel="1" x14ac:dyDescent="0.3">
      <c r="B58" s="1"/>
    </row>
    <row r="59" spans="1:13" outlineLevel="1" x14ac:dyDescent="0.3">
      <c r="B59" s="7" t="s">
        <v>35</v>
      </c>
      <c r="C59" s="17">
        <f>IFERROR('Data Sheet'!B62,0)</f>
        <v>13667.98</v>
      </c>
      <c r="D59" s="17">
        <f>IFERROR('Data Sheet'!C62,0)</f>
        <v>10555.19</v>
      </c>
      <c r="E59" s="17">
        <f>IFERROR('Data Sheet'!D62,0)</f>
        <v>9020.11</v>
      </c>
      <c r="F59" s="17">
        <f>IFERROR('Data Sheet'!E62,0)</f>
        <v>10476.459999999999</v>
      </c>
      <c r="G59" s="17">
        <f>IFERROR('Data Sheet'!F62,0)</f>
        <v>10837.61</v>
      </c>
      <c r="H59" s="17">
        <f>IFERROR('Data Sheet'!G62,0)</f>
        <v>30122.77</v>
      </c>
      <c r="I59" s="17">
        <f>IFERROR('Data Sheet'!H62,0)</f>
        <v>56881.13</v>
      </c>
      <c r="J59" s="17">
        <f>IFERROR('Data Sheet'!I62,0)</f>
        <v>65978.3</v>
      </c>
      <c r="K59" s="17">
        <f>IFERROR('Data Sheet'!J62,0)</f>
        <v>77260.14</v>
      </c>
      <c r="L59" s="17">
        <f>IFERROR('Data Sheet'!K62,0)</f>
        <v>115173.81</v>
      </c>
    </row>
    <row r="60" spans="1:13" outlineLevel="1" x14ac:dyDescent="0.3">
      <c r="B60" s="7" t="s">
        <v>36</v>
      </c>
      <c r="C60" s="17">
        <f>IFERROR('Data Sheet'!B63,0)</f>
        <v>7731.49</v>
      </c>
      <c r="D60" s="17">
        <f>IFERROR('Data Sheet'!C63,0)</f>
        <v>5525.87</v>
      </c>
      <c r="E60" s="17">
        <f>IFERROR('Data Sheet'!D63,0)</f>
        <v>5764.92</v>
      </c>
      <c r="F60" s="17">
        <f>IFERROR('Data Sheet'!E63,0)</f>
        <v>7346.73</v>
      </c>
      <c r="G60" s="17">
        <f>IFERROR('Data Sheet'!F63,0)</f>
        <v>8825.4599999999991</v>
      </c>
      <c r="H60" s="17">
        <f>IFERROR('Data Sheet'!G63,0)</f>
        <v>23544.42</v>
      </c>
      <c r="I60" s="17">
        <f>IFERROR('Data Sheet'!H63,0)</f>
        <v>24025.21</v>
      </c>
      <c r="J60" s="17">
        <f>IFERROR('Data Sheet'!I63,0)</f>
        <v>35179.5</v>
      </c>
      <c r="K60" s="17">
        <f>IFERROR('Data Sheet'!J63,0)</f>
        <v>51515.81</v>
      </c>
      <c r="L60" s="17">
        <f>IFERROR('Data Sheet'!K63,0)</f>
        <v>51753.42</v>
      </c>
    </row>
    <row r="61" spans="1:13" outlineLevel="1" x14ac:dyDescent="0.3">
      <c r="B61" s="7" t="s">
        <v>37</v>
      </c>
      <c r="C61" s="17">
        <f>IFERROR('Data Sheet'!B64,0)</f>
        <v>1041.75</v>
      </c>
      <c r="D61" s="17">
        <f>IFERROR('Data Sheet'!C64,0)</f>
        <v>1460.72</v>
      </c>
      <c r="E61" s="17">
        <f>IFERROR('Data Sheet'!D64,0)</f>
        <v>1511.35</v>
      </c>
      <c r="F61" s="17">
        <f>IFERROR('Data Sheet'!E64,0)</f>
        <v>1952.49</v>
      </c>
      <c r="G61" s="17">
        <f>IFERROR('Data Sheet'!F64,0)</f>
        <v>5502.94</v>
      </c>
      <c r="H61" s="17">
        <f>IFERROR('Data Sheet'!G64,0)</f>
        <v>4292.21</v>
      </c>
      <c r="I61" s="17">
        <f>IFERROR('Data Sheet'!H64,0)</f>
        <v>6310.17</v>
      </c>
      <c r="J61" s="17">
        <f>IFERROR('Data Sheet'!I64,0)</f>
        <v>8700.69</v>
      </c>
      <c r="K61" s="17">
        <f>IFERROR('Data Sheet'!J64,0)</f>
        <v>9886.61</v>
      </c>
      <c r="L61" s="17">
        <f>IFERROR('Data Sheet'!K64,0)</f>
        <v>9428.3700000000008</v>
      </c>
    </row>
    <row r="62" spans="1:13" outlineLevel="1" x14ac:dyDescent="0.3">
      <c r="B62" s="7" t="s">
        <v>38</v>
      </c>
      <c r="C62" s="17">
        <f>IFERROR('Data Sheet'!B65-SUM('Data Sheet'!B67:B69),0)</f>
        <v>9061.51</v>
      </c>
      <c r="D62" s="17">
        <f>IFERROR('Data Sheet'!C65-SUM('Data Sheet'!C67:C69),0)</f>
        <v>22537.979999999996</v>
      </c>
      <c r="E62" s="17">
        <f>IFERROR('Data Sheet'!D65-SUM('Data Sheet'!D67:D69),0)</f>
        <v>7554.6699999999983</v>
      </c>
      <c r="F62" s="17">
        <f>IFERROR('Data Sheet'!E65-SUM('Data Sheet'!E67:E69),0)</f>
        <v>8013.7999999999993</v>
      </c>
      <c r="G62" s="17">
        <f>IFERROR('Data Sheet'!F65-SUM('Data Sheet'!F67:F69),0)</f>
        <v>10900.2</v>
      </c>
      <c r="H62" s="17">
        <f>IFERROR('Data Sheet'!G65-SUM('Data Sheet'!G67:G69),0)</f>
        <v>19210.629999999997</v>
      </c>
      <c r="I62" s="17">
        <f>IFERROR('Data Sheet'!H65-SUM('Data Sheet'!H67:H69),0)</f>
        <v>29217.350000000002</v>
      </c>
      <c r="J62" s="17">
        <f>IFERROR('Data Sheet'!I65-SUM('Data Sheet'!I67:I69),0)</f>
        <v>24379.48</v>
      </c>
      <c r="K62" s="17">
        <f>IFERROR('Data Sheet'!J65-SUM('Data Sheet'!J67:J69),0)</f>
        <v>32314</v>
      </c>
      <c r="L62" s="17">
        <f>IFERROR('Data Sheet'!K65-SUM('Data Sheet'!K67:K69),0)</f>
        <v>41447.769999999997</v>
      </c>
    </row>
    <row r="63" spans="1:13" outlineLevel="1" x14ac:dyDescent="0.3">
      <c r="B63" s="35" t="s">
        <v>81</v>
      </c>
      <c r="C63" s="33">
        <f>IFERROR(SUM(C59:C62),0)</f>
        <v>31502.730000000003</v>
      </c>
      <c r="D63" s="33">
        <f t="shared" ref="D63:L63" si="22">IFERROR(SUM(D59:D62),0)</f>
        <v>40079.759999999995</v>
      </c>
      <c r="E63" s="33">
        <f t="shared" si="22"/>
        <v>23851.05</v>
      </c>
      <c r="F63" s="33">
        <f t="shared" si="22"/>
        <v>27789.48</v>
      </c>
      <c r="G63" s="33">
        <f t="shared" si="22"/>
        <v>36066.21</v>
      </c>
      <c r="H63" s="33">
        <f t="shared" si="22"/>
        <v>77170.03</v>
      </c>
      <c r="I63" s="33">
        <f t="shared" si="22"/>
        <v>116433.86</v>
      </c>
      <c r="J63" s="33">
        <f t="shared" si="22"/>
        <v>134237.97</v>
      </c>
      <c r="K63" s="33">
        <f t="shared" si="22"/>
        <v>170976.56</v>
      </c>
      <c r="L63" s="33">
        <f t="shared" si="22"/>
        <v>217803.36999999997</v>
      </c>
    </row>
    <row r="64" spans="1:13" outlineLevel="1" x14ac:dyDescent="0.3">
      <c r="B64" s="1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 spans="1:13" outlineLevel="1" x14ac:dyDescent="0.3">
      <c r="B65" s="7" t="s">
        <v>39</v>
      </c>
      <c r="C65" s="17">
        <f>IFERROR('Data Sheet'!B67,0)</f>
        <v>12741.75</v>
      </c>
      <c r="D65" s="17">
        <f>IFERROR('Data Sheet'!C67,0)</f>
        <v>12098.77</v>
      </c>
      <c r="E65" s="17">
        <f>IFERROR('Data Sheet'!D67,0)</f>
        <v>14307.03</v>
      </c>
      <c r="F65" s="17">
        <f>IFERROR('Data Sheet'!E67,0)</f>
        <v>13146.53</v>
      </c>
      <c r="G65" s="17">
        <f>IFERROR('Data Sheet'!F67,0)</f>
        <v>11982.65</v>
      </c>
      <c r="H65" s="17">
        <f>IFERROR('Data Sheet'!G67,0)</f>
        <v>13712.19</v>
      </c>
      <c r="I65" s="17">
        <f>IFERROR('Data Sheet'!H67,0)</f>
        <v>12552.88</v>
      </c>
      <c r="J65" s="17">
        <f>IFERROR('Data Sheet'!I67,0)</f>
        <v>9792.93</v>
      </c>
      <c r="K65" s="17">
        <f>IFERROR('Data Sheet'!J67,0)</f>
        <v>9616.4699999999993</v>
      </c>
      <c r="L65" s="17">
        <f>IFERROR('Data Sheet'!K67,0)</f>
        <v>12542.61</v>
      </c>
    </row>
    <row r="66" spans="1:13" outlineLevel="1" x14ac:dyDescent="0.3">
      <c r="B66" s="7" t="s">
        <v>40</v>
      </c>
      <c r="C66" s="17">
        <f>IFERROR('Data Sheet'!B68,0)</f>
        <v>1651.9</v>
      </c>
      <c r="D66" s="17">
        <f>IFERROR('Data Sheet'!C68,0)</f>
        <v>2342.56</v>
      </c>
      <c r="E66" s="17">
        <f>IFERROR('Data Sheet'!D68,0)</f>
        <v>2668.82</v>
      </c>
      <c r="F66" s="17">
        <f>IFERROR('Data Sheet'!E68,0)</f>
        <v>2562.37</v>
      </c>
      <c r="G66" s="17">
        <f>IFERROR('Data Sheet'!F68,0)</f>
        <v>1757.04</v>
      </c>
      <c r="H66" s="17">
        <f>IFERROR('Data Sheet'!G68,0)</f>
        <v>6788.28</v>
      </c>
      <c r="I66" s="17">
        <f>IFERROR('Data Sheet'!H68,0)</f>
        <v>6918.05</v>
      </c>
      <c r="J66" s="17">
        <f>IFERROR('Data Sheet'!I68,0)</f>
        <v>9486.86</v>
      </c>
      <c r="K66" s="17">
        <f>IFERROR('Data Sheet'!J68,0)</f>
        <v>10287.39</v>
      </c>
      <c r="L66" s="17">
        <f>IFERROR('Data Sheet'!K68,0)</f>
        <v>18712.98</v>
      </c>
    </row>
    <row r="67" spans="1:13" outlineLevel="1" x14ac:dyDescent="0.3">
      <c r="B67" s="2" t="s">
        <v>41</v>
      </c>
      <c r="C67" s="17">
        <f>IFERROR('Data Sheet'!B69,0)</f>
        <v>1715.09</v>
      </c>
      <c r="D67" s="17">
        <f>IFERROR('Data Sheet'!C69,0)</f>
        <v>1884.25</v>
      </c>
      <c r="E67" s="17">
        <f>IFERROR('Data Sheet'!D69,0)</f>
        <v>1709.28</v>
      </c>
      <c r="F67" s="17">
        <f>IFERROR('Data Sheet'!E69,0)</f>
        <v>3376.68</v>
      </c>
      <c r="G67" s="17">
        <f>IFERROR('Data Sheet'!F69,0)</f>
        <v>1810.82</v>
      </c>
      <c r="H67" s="17">
        <f>IFERROR('Data Sheet'!G69,0)</f>
        <v>3915.86</v>
      </c>
      <c r="I67" s="17">
        <f>IFERROR('Data Sheet'!H69,0)</f>
        <v>5373.69</v>
      </c>
      <c r="J67" s="17">
        <f>IFERROR('Data Sheet'!I69,0)</f>
        <v>7068.48</v>
      </c>
      <c r="K67" s="17">
        <f>IFERROR('Data Sheet'!J69,0)</f>
        <v>6962.46</v>
      </c>
      <c r="L67" s="17">
        <f>IFERROR('Data Sheet'!K69,0)</f>
        <v>11809.42</v>
      </c>
    </row>
    <row r="68" spans="1:13" outlineLevel="1" x14ac:dyDescent="0.3">
      <c r="B68" s="35" t="s">
        <v>83</v>
      </c>
      <c r="C68" s="33">
        <f>IFERROR(SUM(C65:C67),0)</f>
        <v>16108.74</v>
      </c>
      <c r="D68" s="33">
        <f t="shared" ref="D68:L68" si="23">IFERROR(SUM(D65:D67),0)</f>
        <v>16325.58</v>
      </c>
      <c r="E68" s="33">
        <f t="shared" si="23"/>
        <v>18685.13</v>
      </c>
      <c r="F68" s="33">
        <f t="shared" si="23"/>
        <v>19085.580000000002</v>
      </c>
      <c r="G68" s="33">
        <f t="shared" si="23"/>
        <v>15550.509999999998</v>
      </c>
      <c r="H68" s="33">
        <f t="shared" si="23"/>
        <v>24416.33</v>
      </c>
      <c r="I68" s="33">
        <f t="shared" si="23"/>
        <v>24844.62</v>
      </c>
      <c r="J68" s="33">
        <f t="shared" si="23"/>
        <v>26348.27</v>
      </c>
      <c r="K68" s="33">
        <f t="shared" si="23"/>
        <v>26866.32</v>
      </c>
      <c r="L68" s="33">
        <f t="shared" si="23"/>
        <v>43065.01</v>
      </c>
    </row>
    <row r="69" spans="1:13" outlineLevel="1" x14ac:dyDescent="0.3"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spans="1:13" outlineLevel="1" x14ac:dyDescent="0.3">
      <c r="B70" s="35" t="s">
        <v>84</v>
      </c>
      <c r="C70" s="33">
        <f>IFERROR(C68+C63,0)</f>
        <v>47611.47</v>
      </c>
      <c r="D70" s="33">
        <f t="shared" ref="D70:L70" si="24">IFERROR(D68+D63,0)</f>
        <v>56405.34</v>
      </c>
      <c r="E70" s="33">
        <f t="shared" si="24"/>
        <v>42536.18</v>
      </c>
      <c r="F70" s="33">
        <f t="shared" si="24"/>
        <v>46875.06</v>
      </c>
      <c r="G70" s="33">
        <f t="shared" si="24"/>
        <v>51616.72</v>
      </c>
      <c r="H70" s="33">
        <f t="shared" si="24"/>
        <v>101586.36</v>
      </c>
      <c r="I70" s="33">
        <f t="shared" si="24"/>
        <v>141278.48000000001</v>
      </c>
      <c r="J70" s="33">
        <f t="shared" si="24"/>
        <v>160586.23999999999</v>
      </c>
      <c r="K70" s="33">
        <f t="shared" si="24"/>
        <v>197842.88</v>
      </c>
      <c r="L70" s="33">
        <f t="shared" si="24"/>
        <v>260868.37999999998</v>
      </c>
    </row>
    <row r="72" spans="1:13" x14ac:dyDescent="0.3">
      <c r="B72" s="18" t="s">
        <v>85</v>
      </c>
      <c r="C72" s="26" t="b">
        <f>C70=C57</f>
        <v>1</v>
      </c>
      <c r="D72" s="27" t="b">
        <f t="shared" ref="D72:L72" si="25">D70=D57</f>
        <v>1</v>
      </c>
      <c r="E72" s="27" t="b">
        <f t="shared" si="25"/>
        <v>1</v>
      </c>
      <c r="F72" s="27" t="b">
        <f t="shared" si="25"/>
        <v>1</v>
      </c>
      <c r="G72" s="27" t="b">
        <f t="shared" si="25"/>
        <v>1</v>
      </c>
      <c r="H72" s="27" t="b">
        <f t="shared" si="25"/>
        <v>1</v>
      </c>
      <c r="I72" s="27" t="b">
        <f t="shared" si="25"/>
        <v>1</v>
      </c>
      <c r="J72" s="27" t="b">
        <f t="shared" si="25"/>
        <v>1</v>
      </c>
      <c r="K72" s="27" t="b">
        <f t="shared" si="25"/>
        <v>1</v>
      </c>
      <c r="L72" s="28" t="b">
        <f t="shared" si="25"/>
        <v>1</v>
      </c>
    </row>
    <row r="74" spans="1:13" x14ac:dyDescent="0.3">
      <c r="A74" t="s">
        <v>54</v>
      </c>
      <c r="B74" s="29" t="s">
        <v>86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</row>
    <row r="75" spans="1:13" outlineLevel="1" x14ac:dyDescent="0.3">
      <c r="B75" t="s">
        <v>46</v>
      </c>
      <c r="C75" s="31">
        <f>IFERROR('Data Sheet'!B82,0)</f>
        <v>774.07</v>
      </c>
      <c r="D75" s="31">
        <f>IFERROR('Data Sheet'!C82,0)</f>
        <v>2942.39</v>
      </c>
      <c r="E75" s="31">
        <f>IFERROR('Data Sheet'!D82,0)</f>
        <v>3235.92</v>
      </c>
      <c r="F75" s="31">
        <f>IFERROR('Data Sheet'!E82,0)</f>
        <v>2453.56</v>
      </c>
      <c r="G75" s="31">
        <f>IFERROR('Data Sheet'!F82,0)</f>
        <v>4043.31</v>
      </c>
      <c r="H75" s="31">
        <f>IFERROR('Data Sheet'!G82,0)</f>
        <v>1385.28</v>
      </c>
      <c r="I75" s="31">
        <f>IFERROR('Data Sheet'!H82,0)</f>
        <v>17626.46</v>
      </c>
      <c r="J75" s="31">
        <f>IFERROR('Data Sheet'!I82,0)</f>
        <v>10312.19</v>
      </c>
      <c r="K75" s="31">
        <f>IFERROR('Data Sheet'!J82,0)</f>
        <v>4513.1000000000004</v>
      </c>
      <c r="L75" s="31">
        <f>IFERROR('Data Sheet'!K82,0)</f>
        <v>2356.91</v>
      </c>
      <c r="M75" s="31"/>
    </row>
    <row r="76" spans="1:13" outlineLevel="1" x14ac:dyDescent="0.3">
      <c r="B76" t="s">
        <v>47</v>
      </c>
      <c r="C76" s="31">
        <f>IFERROR('Data Sheet'!B83,0)</f>
        <v>-1459.77</v>
      </c>
      <c r="D76" s="31">
        <f>IFERROR('Data Sheet'!C83,0)</f>
        <v>-7648.85</v>
      </c>
      <c r="E76" s="31">
        <f>IFERROR('Data Sheet'!D83,0)</f>
        <v>2486.91</v>
      </c>
      <c r="F76" s="31">
        <f>IFERROR('Data Sheet'!E83,0)</f>
        <v>-1081.8499999999999</v>
      </c>
      <c r="G76" s="31">
        <f>IFERROR('Data Sheet'!F83,0)</f>
        <v>-8610.66</v>
      </c>
      <c r="H76" s="31">
        <f>IFERROR('Data Sheet'!G83,0)</f>
        <v>-17040.62</v>
      </c>
      <c r="I76" s="31">
        <f>IFERROR('Data Sheet'!H83,0)</f>
        <v>-15458.84</v>
      </c>
      <c r="J76" s="31">
        <f>IFERROR('Data Sheet'!I83,0)</f>
        <v>-18766.650000000001</v>
      </c>
      <c r="K76" s="31">
        <f>IFERROR('Data Sheet'!J83,0)</f>
        <v>-26417.33</v>
      </c>
      <c r="L76" s="31">
        <f>IFERROR('Data Sheet'!K83,0)</f>
        <v>-27680.49</v>
      </c>
      <c r="M76" s="31"/>
    </row>
    <row r="77" spans="1:13" outlineLevel="1" x14ac:dyDescent="0.3">
      <c r="B77" t="s">
        <v>48</v>
      </c>
      <c r="C77" s="31">
        <f>IFERROR('Data Sheet'!B84,0)</f>
        <v>715.82</v>
      </c>
      <c r="D77" s="31">
        <f>IFERROR('Data Sheet'!C84,0)</f>
        <v>5119.57</v>
      </c>
      <c r="E77" s="31">
        <f>IFERROR('Data Sheet'!D84,0)</f>
        <v>-6158.41</v>
      </c>
      <c r="F77" s="31">
        <f>IFERROR('Data Sheet'!E84,0)</f>
        <v>-220.9</v>
      </c>
      <c r="G77" s="31">
        <f>IFERROR('Data Sheet'!F84,0)</f>
        <v>3108.81</v>
      </c>
      <c r="H77" s="31">
        <f>IFERROR('Data Sheet'!G84,0)</f>
        <v>15901.42</v>
      </c>
      <c r="I77" s="31">
        <f>IFERROR('Data Sheet'!H84,0)</f>
        <v>-1197.52</v>
      </c>
      <c r="J77" s="31">
        <f>IFERROR('Data Sheet'!I84,0)</f>
        <v>8878.68</v>
      </c>
      <c r="K77" s="31">
        <f>IFERROR('Data Sheet'!J84,0)</f>
        <v>22655.34</v>
      </c>
      <c r="L77" s="31">
        <f>IFERROR('Data Sheet'!K84,0)</f>
        <v>28484.47</v>
      </c>
      <c r="M77" s="31"/>
    </row>
    <row r="78" spans="1:13" outlineLevel="1" x14ac:dyDescent="0.3">
      <c r="B78" s="35" t="s">
        <v>49</v>
      </c>
      <c r="C78" s="33">
        <f>IFERROR('Data Sheet'!B85,0)</f>
        <v>30.12</v>
      </c>
      <c r="D78" s="33">
        <f>IFERROR('Data Sheet'!C85,0)</f>
        <v>413.11</v>
      </c>
      <c r="E78" s="33">
        <f>IFERROR('Data Sheet'!D85,0)</f>
        <v>-435.58</v>
      </c>
      <c r="F78" s="33">
        <f>IFERROR('Data Sheet'!E85,0)</f>
        <v>1150.81</v>
      </c>
      <c r="G78" s="33">
        <f>IFERROR('Data Sheet'!F85,0)</f>
        <v>-1458.54</v>
      </c>
      <c r="H78" s="33">
        <f>IFERROR('Data Sheet'!G85,0)</f>
        <v>246.08</v>
      </c>
      <c r="I78" s="33">
        <f>IFERROR('Data Sheet'!H85,0)</f>
        <v>970.1</v>
      </c>
      <c r="J78" s="33">
        <f>IFERROR('Data Sheet'!I85,0)</f>
        <v>424.22</v>
      </c>
      <c r="K78" s="33">
        <f>IFERROR('Data Sheet'!J85,0)</f>
        <v>751.11</v>
      </c>
      <c r="L78" s="33">
        <f>IFERROR('Data Sheet'!K85,0)</f>
        <v>3160.89</v>
      </c>
      <c r="M78" s="31"/>
    </row>
    <row r="81" spans="6:6" x14ac:dyDescent="0.3">
      <c r="F81" s="38"/>
    </row>
  </sheetData>
  <mergeCells count="1">
    <mergeCell ref="B2:M2"/>
  </mergeCells>
  <conditionalFormatting sqref="C72:L72">
    <cfRule type="expression" dxfId="6" priority="1">
      <formula>$C$70:$L$70&lt;&gt;$C$57:$L$57</formula>
    </cfRule>
    <cfRule type="expression" dxfId="5" priority="2">
      <formula>$C$70:$L$70=$C$57:$L$57</formula>
    </cfRule>
  </conditionalFormatting>
  <conditionalFormatting sqref="M70">
    <cfRule type="expression" dxfId="2" priority="3">
      <formula>$L$70&lt;&gt;$L$57</formula>
    </cfRule>
    <cfRule type="expression" dxfId="1" priority="4">
      <formula>$L$70=$L$57</formula>
    </cfRule>
  </conditionalFormatting>
  <pageMargins left="0.7" right="0.7" top="0.75" bottom="0.75" header="0.3" footer="0.3"/>
  <ignoredErrors>
    <ignoredError sqref="M6:M40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6AC7EED7-5167-4048-8796-95BEB86CEB0D}">
            <xm:f>$L$57&lt;&gt;'Data Sheet'!$K$61</xm:f>
            <x14:dxf>
              <font>
                <color theme="1"/>
              </font>
              <fill>
                <patternFill>
                  <bgColor rgb="FFFF0000"/>
                </patternFill>
              </fill>
            </x14:dxf>
          </x14:cfRule>
          <x14:cfRule type="expression" priority="6" id="{6013B721-A69E-4017-8EE1-E0CC53DD0BB1}">
            <xm:f>$L$57='Data Sheet'!$K$61</xm:f>
            <x14:dxf>
              <font>
                <color theme="0"/>
              </font>
            </x14:dxf>
          </x14:cfRule>
          <xm:sqref>M57 C58:K58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18D7-17B3-4A2B-A67F-3668ADB876B8}">
  <sheetPr>
    <tabColor theme="4" tint="0.39997558519241921"/>
  </sheetPr>
  <dimension ref="A2:O61"/>
  <sheetViews>
    <sheetView showGridLines="0" zoomScaleNormal="100" workbookViewId="0">
      <pane xSplit="2" ySplit="3" topLeftCell="C48" activePane="bottomRight" state="frozen"/>
      <selection pane="topRight" activeCell="C1" sqref="C1"/>
      <selection pane="bottomLeft" activeCell="A4" sqref="A4"/>
      <selection pane="bottomRight" activeCell="F74" sqref="F74"/>
    </sheetView>
  </sheetViews>
  <sheetFormatPr defaultRowHeight="14.4" x14ac:dyDescent="0.3"/>
  <cols>
    <col min="1" max="1" width="3.109375" customWidth="1"/>
    <col min="2" max="2" width="35.88671875" bestFit="1" customWidth="1"/>
    <col min="3" max="12" width="10.77734375" customWidth="1"/>
    <col min="13" max="13" width="25.5546875" customWidth="1"/>
  </cols>
  <sheetData>
    <row r="2" spans="1:15" x14ac:dyDescent="0.3">
      <c r="B2" s="40" t="str">
        <f>"Historical Financial Data - "&amp;'Data Sheet'!B1</f>
        <v>Historical Financial Data - ADANI ENTERPRISES LTD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60"/>
      <c r="N2" s="60"/>
      <c r="O2" s="60"/>
    </row>
    <row r="3" spans="1:15" x14ac:dyDescent="0.3">
      <c r="B3" s="37" t="s">
        <v>53</v>
      </c>
      <c r="C3" s="37">
        <f>'Data Sheet'!B16</f>
        <v>42825</v>
      </c>
      <c r="D3" s="37">
        <f>'Data Sheet'!C16</f>
        <v>43190</v>
      </c>
      <c r="E3" s="37">
        <f>'Data Sheet'!D16</f>
        <v>43555</v>
      </c>
      <c r="F3" s="37">
        <f>'Data Sheet'!E16</f>
        <v>43921</v>
      </c>
      <c r="G3" s="37">
        <f>'Data Sheet'!F16</f>
        <v>44286</v>
      </c>
      <c r="H3" s="37">
        <f>'Data Sheet'!G16</f>
        <v>44651</v>
      </c>
      <c r="I3" s="37">
        <f>'Data Sheet'!H16</f>
        <v>45016</v>
      </c>
      <c r="J3" s="37">
        <f>'Data Sheet'!I16</f>
        <v>45382</v>
      </c>
      <c r="K3" s="37">
        <f>'Data Sheet'!J16</f>
        <v>45747</v>
      </c>
      <c r="L3" s="37">
        <f>'Data Sheet'!K16</f>
        <v>46112</v>
      </c>
      <c r="M3" s="58" t="s">
        <v>135</v>
      </c>
      <c r="N3" s="59" t="s">
        <v>136</v>
      </c>
      <c r="O3" s="59" t="s">
        <v>137</v>
      </c>
    </row>
    <row r="4" spans="1:15" x14ac:dyDescent="0.3">
      <c r="A4" s="43" t="s">
        <v>54</v>
      </c>
      <c r="B4" s="43" t="s">
        <v>111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4"/>
      <c r="N4" s="44"/>
      <c r="O4" s="44"/>
    </row>
    <row r="5" spans="1:15" x14ac:dyDescent="0.3">
      <c r="B5" s="36" t="s">
        <v>55</v>
      </c>
      <c r="D5" s="38">
        <f>IFERROR(HistoricalFS!D7,0)</f>
        <v>-1.6668281651094463E-2</v>
      </c>
      <c r="E5" s="38">
        <f>IFERROR(HistoricalFS!E7,0)</f>
        <v>0.12400484134248169</v>
      </c>
      <c r="F5" s="38">
        <f>IFERROR(HistoricalFS!F7,0)</f>
        <v>7.4888567376926174E-2</v>
      </c>
      <c r="G5" s="38">
        <f>IFERROR(HistoricalFS!G7,0)</f>
        <v>-8.9059954067225555E-2</v>
      </c>
      <c r="H5" s="38">
        <f>IFERROR(HistoricalFS!H7,0)</f>
        <v>0.75582243830040263</v>
      </c>
      <c r="I5" s="38">
        <f>IFERROR(HistoricalFS!I7,0)</f>
        <v>0.83721073612888941</v>
      </c>
      <c r="J5" s="38">
        <f>IFERROR(HistoricalFS!J7,0)</f>
        <v>-0.24399123408826284</v>
      </c>
      <c r="K5" s="38">
        <f>IFERROR(HistoricalFS!K7,0)</f>
        <v>1.528474404636837E-2</v>
      </c>
      <c r="L5" s="38">
        <f>IFERROR(HistoricalFS!L7,0)</f>
        <v>2.6292114745683604E-2</v>
      </c>
      <c r="M5" s="38"/>
      <c r="N5" s="38">
        <f>IFERROR(AVERAGE(C5:L5),0)</f>
        <v>0.16486488579268543</v>
      </c>
      <c r="O5" s="38">
        <f>IFERROR(MEDIAN(C5:L5),0)</f>
        <v>2.6292114745683604E-2</v>
      </c>
    </row>
    <row r="6" spans="1:15" x14ac:dyDescent="0.3">
      <c r="B6" t="s">
        <v>87</v>
      </c>
      <c r="D6" s="38">
        <f>IFERROR(HistoricalFS!D18/HistoricalFS!C18-1,0)</f>
        <v>7.1221671406710874E-2</v>
      </c>
      <c r="E6" s="38">
        <f>IFERROR(HistoricalFS!E18/HistoricalFS!D18-1,0)</f>
        <v>-3.3552370062466141E-2</v>
      </c>
      <c r="F6" s="38">
        <f>IFERROR(HistoricalFS!F18/HistoricalFS!E18-1,0)</f>
        <v>0.16505529771395477</v>
      </c>
      <c r="G6" s="38">
        <f>IFERROR(HistoricalFS!G18/HistoricalFS!F18-1,0)</f>
        <v>9.2076761143482511E-2</v>
      </c>
      <c r="H6" s="38">
        <f>IFERROR(HistoricalFS!H18/HistoricalFS!G18-1,0)</f>
        <v>0.48209047552531037</v>
      </c>
      <c r="I6" s="38">
        <f>IFERROR(HistoricalFS!I18/HistoricalFS!H18-1,0)</f>
        <v>1.3744318181818236</v>
      </c>
      <c r="J6" s="38">
        <f>IFERROR(HistoricalFS!J18/HistoricalFS!I18-1,0)</f>
        <v>0.29020185558802747</v>
      </c>
      <c r="K6" s="38">
        <f>IFERROR(HistoricalFS!K18/HistoricalFS!J18-1,0)</f>
        <v>0.25274950336656099</v>
      </c>
      <c r="L6" s="38">
        <f>IFERROR(HistoricalFS!L18/HistoricalFS!K18-1,0)</f>
        <v>-1.8330722009426426E-2</v>
      </c>
      <c r="M6" s="38"/>
      <c r="N6" s="38">
        <f t="shared" ref="N6:N10" si="0">IFERROR(AVERAGE(C6:L6),0)</f>
        <v>0.29732714342821975</v>
      </c>
      <c r="O6" s="38">
        <f t="shared" ref="O6:O10" si="1">IFERROR(MEDIAN(C6:L6),0)</f>
        <v>0.16505529771395477</v>
      </c>
    </row>
    <row r="7" spans="1:15" x14ac:dyDescent="0.3">
      <c r="B7" t="s">
        <v>88</v>
      </c>
      <c r="D7" s="38">
        <f>IFERROR(HistoricalFS!D24/HistoricalFS!C24-1,0)</f>
        <v>-0.13422235106537928</v>
      </c>
      <c r="E7" s="38">
        <f>IFERROR(HistoricalFS!E24/HistoricalFS!D24-1,0)</f>
        <v>0.14978999701556561</v>
      </c>
      <c r="F7" s="38">
        <f>IFERROR(HistoricalFS!F24/HistoricalFS!E24-1,0)</f>
        <v>0.15368739593686875</v>
      </c>
      <c r="G7" s="38">
        <f>IFERROR(HistoricalFS!G24/HistoricalFS!F24-1,0)</f>
        <v>8.0215987225143115E-2</v>
      </c>
      <c r="H7" s="38">
        <f>IFERROR(HistoricalFS!H24/HistoricalFS!G24-1,0)</f>
        <v>0.25263270189127485</v>
      </c>
      <c r="I7" s="38">
        <f>IFERROR(HistoricalFS!I24/HistoricalFS!H24-1,0)</f>
        <v>1.5880031794697187</v>
      </c>
      <c r="J7" s="38">
        <f>IFERROR(HistoricalFS!J24/HistoricalFS!I24-1,0)</f>
        <v>0.30602283144377052</v>
      </c>
      <c r="K7" s="38">
        <f>IFERROR(HistoricalFS!K24/HistoricalFS!J24-1,0)</f>
        <v>0.20472256717600046</v>
      </c>
      <c r="L7" s="38">
        <f>IFERROR(HistoricalFS!L24/HistoricalFS!K24-1,0)</f>
        <v>-0.21764020436822173</v>
      </c>
      <c r="M7" s="38"/>
      <c r="N7" s="38">
        <f t="shared" si="0"/>
        <v>0.26480134496941565</v>
      </c>
      <c r="O7" s="38">
        <f t="shared" si="1"/>
        <v>0.15368739593686875</v>
      </c>
    </row>
    <row r="8" spans="1:15" x14ac:dyDescent="0.3">
      <c r="B8" t="s">
        <v>89</v>
      </c>
      <c r="D8" s="38">
        <f>IFERROR(HistoricalFS!D39/HistoricalFS!C39-1,0)</f>
        <v>-0.53607685831725216</v>
      </c>
      <c r="E8" s="38">
        <f>IFERROR(HistoricalFS!E39/HistoricalFS!D39-1,0)</f>
        <v>-0.16156063193848513</v>
      </c>
      <c r="F8" s="38">
        <f>IFERROR(HistoricalFS!F39/HistoricalFS!E39-1,0)</f>
        <v>1.5399452543128027</v>
      </c>
      <c r="G8" s="38">
        <f>IFERROR(HistoricalFS!G39/HistoricalFS!F39-1,0)</f>
        <v>-6.4761904761910682E-2</v>
      </c>
      <c r="H8" s="38">
        <f>IFERROR(HistoricalFS!H39/HistoricalFS!G39-1,0)</f>
        <v>-0.36304802229607602</v>
      </c>
      <c r="I8" s="38">
        <f>IFERROR(HistoricalFS!I39/HistoricalFS!H39-1,0)</f>
        <v>3.6467804026338175</v>
      </c>
      <c r="J8" s="38">
        <f>IFERROR(HistoricalFS!J39/HistoricalFS!I39-1,0)</f>
        <v>0.49149818464964867</v>
      </c>
      <c r="K8" s="38">
        <f>IFERROR(HistoricalFS!K39/HistoricalFS!J39-1,0)</f>
        <v>1.2755999915013296</v>
      </c>
      <c r="L8" s="38">
        <f>IFERROR(HistoricalFS!L39/HistoricalFS!K39-1,0)</f>
        <v>0.29294035420940379</v>
      </c>
      <c r="M8" s="38"/>
      <c r="N8" s="38">
        <f t="shared" si="0"/>
        <v>0.68014630777703089</v>
      </c>
      <c r="O8" s="38">
        <f t="shared" si="1"/>
        <v>0.29294035420940379</v>
      </c>
    </row>
    <row r="9" spans="1:15" x14ac:dyDescent="0.3">
      <c r="B9" s="46" t="s">
        <v>114</v>
      </c>
      <c r="C9" s="38"/>
      <c r="D9" s="38">
        <f>IFERROR(HistoricalFS!D45,0)</f>
        <v>-0.53607685831725205</v>
      </c>
      <c r="E9" s="38">
        <f>IFERROR(HistoricalFS!E45,0)</f>
        <v>-0.16156063193848513</v>
      </c>
      <c r="F9" s="38">
        <f>IFERROR(HistoricalFS!F45,0)</f>
        <v>1.5399452543128027</v>
      </c>
      <c r="G9" s="38">
        <f>IFERROR(HistoricalFS!G45,0)</f>
        <v>-6.4761904761910682E-2</v>
      </c>
      <c r="H9" s="38">
        <f>IFERROR(HistoricalFS!H45,0)</f>
        <v>-0.36304802229607602</v>
      </c>
      <c r="I9" s="38">
        <f>IFERROR(HistoricalFS!I45,0)</f>
        <v>3.4830075970898626</v>
      </c>
      <c r="J9" s="38">
        <f>IFERROR(HistoricalFS!J45,0)</f>
        <v>0.49149818464964867</v>
      </c>
      <c r="K9" s="38">
        <f>IFERROR(HistoricalFS!K45,0)</f>
        <v>1.2476104812786399</v>
      </c>
      <c r="L9" s="38">
        <f>IFERROR(HistoricalFS!L45,0)</f>
        <v>0.29404149573126093</v>
      </c>
      <c r="M9" s="38"/>
      <c r="N9" s="38">
        <f t="shared" si="0"/>
        <v>0.65896173286094339</v>
      </c>
      <c r="O9" s="38">
        <f t="shared" si="1"/>
        <v>0.29404149573126093</v>
      </c>
    </row>
    <row r="10" spans="1:15" x14ac:dyDescent="0.3">
      <c r="B10" t="s">
        <v>113</v>
      </c>
      <c r="D10" s="38">
        <f>IFERROR(HistoricalFS!D47/HistoricalFS!C47-1,0)</f>
        <v>0</v>
      </c>
      <c r="E10" s="38">
        <f>IFERROR(HistoricalFS!E47/HistoricalFS!D47-1,0)</f>
        <v>0</v>
      </c>
      <c r="F10" s="38">
        <f>IFERROR(HistoricalFS!F47/HistoricalFS!E47-1,0)</f>
        <v>1.5001136621959534</v>
      </c>
      <c r="G10" s="38">
        <f>IFERROR(HistoricalFS!G47/HistoricalFS!F47-1,0)</f>
        <v>0</v>
      </c>
      <c r="H10" s="38">
        <f>IFERROR(HistoricalFS!H47/HistoricalFS!G47-1,0)</f>
        <v>0</v>
      </c>
      <c r="I10" s="38">
        <f>IFERROR(HistoricalFS!I47/HistoricalFS!H47-1,0)</f>
        <v>0.20002338087444471</v>
      </c>
      <c r="J10" s="38">
        <f>IFERROR(HistoricalFS!J47/HistoricalFS!I47-1,0)</f>
        <v>8.3333333333333259E-2</v>
      </c>
      <c r="K10" s="38">
        <f>IFERROR(HistoricalFS!K47/HistoricalFS!J47-1,0)</f>
        <v>2.975287264006532E-5</v>
      </c>
      <c r="L10" s="38">
        <f>IFERROR(HistoricalFS!L47/HistoricalFS!K47-1,0)</f>
        <v>0.12064703011662559</v>
      </c>
      <c r="M10" s="38"/>
      <c r="N10" s="38">
        <f t="shared" si="0"/>
        <v>0.2115719065992219</v>
      </c>
      <c r="O10" s="38">
        <f t="shared" si="1"/>
        <v>2.975287264006532E-5</v>
      </c>
    </row>
    <row r="11" spans="1:15" x14ac:dyDescent="0.3"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5" x14ac:dyDescent="0.3">
      <c r="A12" s="43" t="s">
        <v>54</v>
      </c>
      <c r="B12" s="45" t="s">
        <v>112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61"/>
      <c r="N12" s="44"/>
      <c r="O12" s="44"/>
    </row>
    <row r="13" spans="1:15" x14ac:dyDescent="0.3">
      <c r="B13" s="36" t="s">
        <v>58</v>
      </c>
      <c r="C13" s="38">
        <f>IFERROR(HistoricalFS!C13,0)</f>
        <v>8.5458680212827653E-2</v>
      </c>
      <c r="D13" s="38">
        <f>IFERROR(HistoricalFS!D13,0)</f>
        <v>8.7652182723934102E-2</v>
      </c>
      <c r="E13" s="38">
        <f>IFERROR(HistoricalFS!E13,0)</f>
        <v>9.5175273275537195E-2</v>
      </c>
      <c r="F13" s="38">
        <f>IFERROR(HistoricalFS!F13,0)</f>
        <v>0.11362186930909153</v>
      </c>
      <c r="G13" s="38">
        <f>IFERROR(HistoricalFS!G13,0)</f>
        <v>0.1033881316119809</v>
      </c>
      <c r="H13" s="38">
        <f>IFERROR(HistoricalFS!H13,0)</f>
        <v>9.6053193754323196E-2</v>
      </c>
      <c r="I13" s="38">
        <f>IFERROR(HistoricalFS!I13,0)</f>
        <v>0.13938646458548135</v>
      </c>
      <c r="J13" s="38">
        <f>IFERROR(HistoricalFS!J13,0)</f>
        <v>0.21652227554625553</v>
      </c>
      <c r="K13" s="38">
        <f>IFERROR(HistoricalFS!K13,0)</f>
        <v>0.24926413316342305</v>
      </c>
      <c r="L13" s="38">
        <f>IFERROR(HistoricalFS!L13,0)</f>
        <v>0.24829058548734778</v>
      </c>
      <c r="N13" s="38">
        <f t="shared" ref="N13:N17" si="2">IFERROR(AVERAGE(C13:L13),0)</f>
        <v>0.14348127896702023</v>
      </c>
      <c r="O13" s="38">
        <f t="shared" ref="O13:O17" si="3">IFERROR(MEDIAN(C13:L13),0)</f>
        <v>0.10850500046053621</v>
      </c>
    </row>
    <row r="14" spans="1:15" x14ac:dyDescent="0.3">
      <c r="B14" t="s">
        <v>90</v>
      </c>
      <c r="C14" s="38">
        <f>IFERROR(HistoricalFS!C19,0)</f>
        <v>5.2069014032846118E-2</v>
      </c>
      <c r="D14" s="38">
        <f>IFERROR(HistoricalFS!D19,0)</f>
        <v>5.6722930014318891E-2</v>
      </c>
      <c r="E14" s="38">
        <f>IFERROR(HistoricalFS!E19,0)</f>
        <v>4.8771801738839347E-2</v>
      </c>
      <c r="F14" s="38">
        <f>IFERROR(HistoricalFS!F19,0)</f>
        <v>5.2863010845443294E-2</v>
      </c>
      <c r="G14" s="38">
        <f>IFERROR(HistoricalFS!G19,0)</f>
        <v>6.3374605086408603E-2</v>
      </c>
      <c r="H14" s="38">
        <f>IFERROR(HistoricalFS!H19,0)</f>
        <v>5.3494531417233315E-2</v>
      </c>
      <c r="I14" s="38">
        <f>IFERROR(HistoricalFS!I19,0)</f>
        <v>6.9136934047883195E-2</v>
      </c>
      <c r="J14" s="38">
        <f>IFERROR(HistoricalFS!J19,0)</f>
        <v>0.11798884433657482</v>
      </c>
      <c r="K14" s="38">
        <f>IFERROR(HistoricalFS!K19,0)</f>
        <v>0.14558523312026447</v>
      </c>
      <c r="L14" s="38">
        <f>IFERROR(HistoricalFS!L19,0)</f>
        <v>0.13925523603840048</v>
      </c>
      <c r="N14" s="38">
        <f t="shared" si="2"/>
        <v>7.9926214067821258E-2</v>
      </c>
      <c r="O14" s="38">
        <f t="shared" si="3"/>
        <v>6.0048767550363744E-2</v>
      </c>
    </row>
    <row r="15" spans="1:15" x14ac:dyDescent="0.3">
      <c r="B15" t="s">
        <v>91</v>
      </c>
      <c r="C15" s="38">
        <f>IFERROR(HistoricalFS!C25,0)</f>
        <v>4.3434048141864683E-2</v>
      </c>
      <c r="D15" s="38">
        <f>IFERROR(HistoricalFS!D25,0)</f>
        <v>3.824165068845467E-2</v>
      </c>
      <c r="E15" s="38">
        <f>IFERROR(HistoricalFS!E25,0)</f>
        <v>3.911893064306747E-2</v>
      </c>
      <c r="F15" s="38">
        <f>IFERROR(HistoricalFS!F25,0)</f>
        <v>4.1986693872435248E-2</v>
      </c>
      <c r="G15" s="38">
        <f>IFERROR(HistoricalFS!G25,0)</f>
        <v>4.9788894641568535E-2</v>
      </c>
      <c r="H15" s="38">
        <f>IFERROR(HistoricalFS!H25,0)</f>
        <v>3.5520219048697246E-2</v>
      </c>
      <c r="I15" s="38">
        <f>IFERROR(HistoricalFS!I25,0)</f>
        <v>5.0035871239890381E-2</v>
      </c>
      <c r="J15" s="38">
        <f>IFERROR(HistoricalFS!J25,0)</f>
        <v>8.6438138255802766E-2</v>
      </c>
      <c r="K15" s="38">
        <f>IFERROR(HistoricalFS!K25,0)</f>
        <v>0.10256627653679089</v>
      </c>
      <c r="L15" s="38">
        <f>IFERROR(HistoricalFS!L25,0)</f>
        <v>7.8188003198212896E-2</v>
      </c>
      <c r="N15" s="38">
        <f t="shared" si="2"/>
        <v>5.6531872626678484E-2</v>
      </c>
      <c r="O15" s="38">
        <f t="shared" si="3"/>
        <v>4.6611471391716605E-2</v>
      </c>
    </row>
    <row r="16" spans="1:15" x14ac:dyDescent="0.3">
      <c r="B16" t="s">
        <v>92</v>
      </c>
      <c r="C16" s="38">
        <f>IFERROR(HistoricalFS!C34,0)</f>
        <v>2.9531495754780836E-2</v>
      </c>
      <c r="D16" s="38">
        <f>IFERROR(HistoricalFS!D34,0)</f>
        <v>1.3551694803907548E-2</v>
      </c>
      <c r="E16" s="38">
        <f>IFERROR(HistoricalFS!E34,0)</f>
        <v>1.1360456240994691E-2</v>
      </c>
      <c r="F16" s="38">
        <f>IFERROR(HistoricalFS!F34,0)</f>
        <v>2.5858612948176408E-2</v>
      </c>
      <c r="G16" s="38">
        <f>IFERROR(HistoricalFS!G34,0)</f>
        <v>2.7467092325618944E-2</v>
      </c>
      <c r="H16" s="38">
        <f>IFERROR(HistoricalFS!H34,0)</f>
        <v>1.3714311890288841E-2</v>
      </c>
      <c r="I16" s="38">
        <f>IFERROR(HistoricalFS!I34,0)</f>
        <v>2.5457838551978005E-2</v>
      </c>
      <c r="J16" s="38">
        <f>IFERROR(HistoricalFS!J34,0)</f>
        <v>5.1089918397427547E-2</v>
      </c>
      <c r="K16" s="38">
        <f>IFERROR(HistoricalFS!K34,0)</f>
        <v>0.10690849100692335</v>
      </c>
      <c r="L16" s="38">
        <f>IFERROR(HistoricalFS!L34,0)</f>
        <v>0.13461577700736585</v>
      </c>
      <c r="N16" s="38">
        <f t="shared" si="2"/>
        <v>4.3955568892746197E-2</v>
      </c>
      <c r="O16" s="38">
        <f t="shared" si="3"/>
        <v>2.6662852636897674E-2</v>
      </c>
    </row>
    <row r="17" spans="1:15" x14ac:dyDescent="0.3">
      <c r="B17" t="s">
        <v>93</v>
      </c>
      <c r="C17" s="38">
        <f>IFERROR(HistoricalFS!C40,0)</f>
        <v>2.2109410541633002E-2</v>
      </c>
      <c r="D17" s="38">
        <f>IFERROR(HistoricalFS!D40,0)</f>
        <v>1.0430932927141314E-2</v>
      </c>
      <c r="E17" s="38">
        <f>IFERROR(HistoricalFS!E40,0)</f>
        <v>7.7808426530252056E-3</v>
      </c>
      <c r="F17" s="38">
        <f>IFERROR(HistoricalFS!F40,0)</f>
        <v>1.8386012253655163E-2</v>
      </c>
      <c r="G17" s="38">
        <f>IFERROR(HistoricalFS!G40,0)</f>
        <v>1.8876433367824082E-2</v>
      </c>
      <c r="H17" s="38">
        <f>IFERROR(HistoricalFS!H40,0)</f>
        <v>6.8477206483761868E-3</v>
      </c>
      <c r="I17" s="38">
        <f>IFERROR(HistoricalFS!I40,0)</f>
        <v>1.7319653911141243E-2</v>
      </c>
      <c r="J17" s="38">
        <f>IFERROR(HistoricalFS!J40,0)</f>
        <v>3.4169223337078641E-2</v>
      </c>
      <c r="K17" s="38">
        <f>IFERROR(HistoricalFS!K40,0)</f>
        <v>7.6584903684824873E-2</v>
      </c>
      <c r="L17" s="38">
        <f>IFERROR(HistoricalFS!L40,0)</f>
        <v>9.6482971148899213E-2</v>
      </c>
      <c r="N17" s="38">
        <f t="shared" si="2"/>
        <v>3.0898810447359891E-2</v>
      </c>
      <c r="O17" s="38">
        <f t="shared" si="3"/>
        <v>1.8631222810739624E-2</v>
      </c>
    </row>
    <row r="18" spans="1:15" x14ac:dyDescent="0.3"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5" x14ac:dyDescent="0.3">
      <c r="A19" s="53" t="s">
        <v>54</v>
      </c>
      <c r="B19" s="45" t="s">
        <v>116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61"/>
      <c r="N19" s="44"/>
      <c r="O19" s="44"/>
    </row>
    <row r="20" spans="1:15" x14ac:dyDescent="0.3">
      <c r="B20" s="36" t="s">
        <v>115</v>
      </c>
      <c r="C20" s="38">
        <f>IFERROR(HistoricalFS!C16,0)</f>
        <v>3.3389666179981535E-2</v>
      </c>
      <c r="D20" s="38">
        <f>IFERROR(HistoricalFS!D16,0)</f>
        <v>3.0929252709615208E-2</v>
      </c>
      <c r="E20" s="38">
        <f>IFERROR(HistoricalFS!E16,0)</f>
        <v>4.6403471536697848E-2</v>
      </c>
      <c r="F20" s="38">
        <f>IFERROR(HistoricalFS!F16,0)</f>
        <v>6.0758858463648237E-2</v>
      </c>
      <c r="G20" s="38">
        <f>IFERROR(HistoricalFS!G16,0)</f>
        <v>4.0013526525572295E-2</v>
      </c>
      <c r="H20" s="38">
        <f>IFERROR(HistoricalFS!H16,0)</f>
        <v>4.2558662337089888E-2</v>
      </c>
      <c r="I20" s="38">
        <f>IFERROR(HistoricalFS!I16,0)</f>
        <v>7.0249530537598151E-2</v>
      </c>
      <c r="J20" s="38">
        <f>IFERROR(HistoricalFS!J16,0)</f>
        <v>9.8533431209680722E-2</v>
      </c>
      <c r="K20" s="38">
        <f>IFERROR(HistoricalFS!K16,0)</f>
        <v>0.10367890004315859</v>
      </c>
      <c r="L20" s="38">
        <f>IFERROR(HistoricalFS!L16,0)</f>
        <v>0.10903534944894729</v>
      </c>
      <c r="M20" s="38"/>
      <c r="N20" s="38">
        <f t="shared" ref="N20:N25" si="4">IFERROR(AVERAGE(C20:L20),0)</f>
        <v>6.3555064899198974E-2</v>
      </c>
      <c r="O20" s="38">
        <f t="shared" ref="O20:O25" si="5">IFERROR(MEDIAN(C20:L20),0)</f>
        <v>5.3581165000173042E-2</v>
      </c>
    </row>
    <row r="21" spans="1:15" x14ac:dyDescent="0.3">
      <c r="B21" t="s">
        <v>65</v>
      </c>
      <c r="C21" s="38">
        <f>IFERROR(HistoricalFS!C22,0)</f>
        <v>8.6349658909814341E-3</v>
      </c>
      <c r="D21" s="38">
        <f>IFERROR(HistoricalFS!D22,0)</f>
        <v>1.8481279325864214E-2</v>
      </c>
      <c r="E21" s="38">
        <f>IFERROR(HistoricalFS!E22,0)</f>
        <v>9.6528710957718734E-3</v>
      </c>
      <c r="F21" s="38">
        <f>IFERROR(HistoricalFS!F22,0)</f>
        <v>1.0876316973008044E-2</v>
      </c>
      <c r="G21" s="38">
        <f>IFERROR(HistoricalFS!G22,0)</f>
        <v>1.3585710444840079E-2</v>
      </c>
      <c r="H21" s="38">
        <f>IFERROR(HistoricalFS!H22,0)</f>
        <v>1.7974312368536065E-2</v>
      </c>
      <c r="I21" s="38">
        <f>IFERROR(HistoricalFS!I22,0)</f>
        <v>1.9101062807992817E-2</v>
      </c>
      <c r="J21" s="38">
        <f>IFERROR(HistoricalFS!J22,0)</f>
        <v>3.1550706080772047E-2</v>
      </c>
      <c r="K21" s="38">
        <f>IFERROR(HistoricalFS!K22,0)</f>
        <v>4.3018956583473579E-2</v>
      </c>
      <c r="L21" s="38">
        <f>IFERROR(HistoricalFS!L22,0)</f>
        <v>6.1067232840187599E-2</v>
      </c>
      <c r="M21" s="38"/>
      <c r="N21" s="38">
        <f t="shared" si="4"/>
        <v>2.3394341441142774E-2</v>
      </c>
      <c r="O21" s="38">
        <f t="shared" si="5"/>
        <v>1.8227795847200141E-2</v>
      </c>
    </row>
    <row r="22" spans="1:15" x14ac:dyDescent="0.3">
      <c r="B22" t="s">
        <v>64</v>
      </c>
      <c r="C22" s="38">
        <f>IFERROR(HistoricalFS!C31,0)</f>
        <v>3.4415865607017898E-2</v>
      </c>
      <c r="D22" s="38">
        <f>IFERROR(HistoricalFS!D31,0)</f>
        <v>3.4800489478876477E-2</v>
      </c>
      <c r="E22" s="38">
        <f>IFERROR(HistoricalFS!E31,0)</f>
        <v>4.0245763480016419E-2</v>
      </c>
      <c r="F22" s="38">
        <f>IFERROR(HistoricalFS!F31,0)</f>
        <v>3.6226434569758097E-2</v>
      </c>
      <c r="G22" s="38">
        <f>IFERROR(HistoricalFS!G31,0)</f>
        <v>3.4824227251699855E-2</v>
      </c>
      <c r="H22" s="38">
        <f>IFERROR(HistoricalFS!H31,0)</f>
        <v>3.6385385344722534E-2</v>
      </c>
      <c r="I22" s="38">
        <f>IFERROR(HistoricalFS!I31,0)</f>
        <v>3.1118986666875754E-2</v>
      </c>
      <c r="J22" s="38">
        <f>IFERROR(HistoricalFS!J31,0)</f>
        <v>4.7237644753247689E-2</v>
      </c>
      <c r="K22" s="38">
        <f>IFERROR(HistoricalFS!K31,0)</f>
        <v>6.1065787491157597E-2</v>
      </c>
      <c r="L22" s="38">
        <f>IFERROR(HistoricalFS!L31,0)</f>
        <v>5.9910453623275968E-2</v>
      </c>
      <c r="M22" s="38"/>
      <c r="N22" s="38">
        <f t="shared" si="4"/>
        <v>4.1623103826664828E-2</v>
      </c>
      <c r="O22" s="38">
        <f t="shared" si="5"/>
        <v>3.6305909957240312E-2</v>
      </c>
    </row>
    <row r="23" spans="1:15" x14ac:dyDescent="0.3">
      <c r="B23" s="39" t="s">
        <v>107</v>
      </c>
      <c r="C23" s="38">
        <f>IFERROR(HistoricalFS!C37,0)</f>
        <v>0.25132777813823659</v>
      </c>
      <c r="D23" s="38">
        <f>IFERROR(HistoricalFS!D37,0)</f>
        <v>0.23028572602346242</v>
      </c>
      <c r="E23" s="38">
        <f>IFERROR(HistoricalFS!E37,0)</f>
        <v>0.31509417509591719</v>
      </c>
      <c r="F23" s="38">
        <f>IFERROR(HistoricalFS!F37,0)</f>
        <v>0.2889791772473328</v>
      </c>
      <c r="G23" s="38">
        <f>IFERROR(HistoricalFS!G37,0)</f>
        <v>0.31276186266655659</v>
      </c>
      <c r="H23" s="38">
        <f>IFERROR(HistoricalFS!H37,0)</f>
        <v>0.50068798907620848</v>
      </c>
      <c r="I23" s="38">
        <f>IFERROR(HistoricalFS!I37,0)</f>
        <v>0.3196730399645199</v>
      </c>
      <c r="J23" s="38">
        <f>IFERROR(HistoricalFS!J37,0)</f>
        <v>0.33119440373192849</v>
      </c>
      <c r="K23" s="38">
        <f>IFERROR(HistoricalFS!K37,0)</f>
        <v>0.28364058866133218</v>
      </c>
      <c r="L23" s="38">
        <f>IFERROR(HistoricalFS!L37,0)</f>
        <v>0.28327144638016766</v>
      </c>
      <c r="M23" s="38"/>
      <c r="N23" s="38">
        <f t="shared" si="4"/>
        <v>0.31169161869856621</v>
      </c>
      <c r="O23" s="38">
        <f t="shared" si="5"/>
        <v>0.30087051995694469</v>
      </c>
    </row>
    <row r="24" spans="1:15" x14ac:dyDescent="0.3">
      <c r="B24" s="39" t="s">
        <v>108</v>
      </c>
      <c r="C24" s="38">
        <f>IFERROR(HistoricalFS!C48,0)</f>
        <v>5.4461942257217677E-2</v>
      </c>
      <c r="D24" s="38">
        <f>IFERROR(HistoricalFS!D48,0)</f>
        <v>0.11739432109308587</v>
      </c>
      <c r="E24" s="38">
        <f>IFERROR(HistoricalFS!E48,0)</f>
        <v>0.14001527786619011</v>
      </c>
      <c r="F24" s="38">
        <f>IFERROR(HistoricalFS!F48,0)</f>
        <v>0.13781954887217987</v>
      </c>
      <c r="G24" s="38">
        <f>IFERROR(HistoricalFS!G48,0)</f>
        <v>0.14736306142137451</v>
      </c>
      <c r="H24" s="38">
        <f>IFERROR(HistoricalFS!H48,0)</f>
        <v>0.23135662746913344</v>
      </c>
      <c r="I24" s="38">
        <f>IFERROR(HistoricalFS!I48,0)</f>
        <v>6.1930156545673527E-2</v>
      </c>
      <c r="J24" s="38">
        <f>IFERROR(HistoricalFS!J48,0)</f>
        <v>4.4982289361779719E-2</v>
      </c>
      <c r="K24" s="38">
        <f>IFERROR(HistoricalFS!K48,0)</f>
        <v>2.0013978440123436E-2</v>
      </c>
      <c r="L24" s="38">
        <f>IFERROR(HistoricalFS!L48,0)</f>
        <v>1.7332215059354131E-2</v>
      </c>
      <c r="M24" s="38"/>
      <c r="N24" s="38">
        <f t="shared" si="4"/>
        <v>9.7266941838611232E-2</v>
      </c>
      <c r="O24" s="38">
        <f t="shared" si="5"/>
        <v>8.9662238819379694E-2</v>
      </c>
    </row>
    <row r="25" spans="1:15" x14ac:dyDescent="0.3">
      <c r="B25" t="s">
        <v>94</v>
      </c>
      <c r="C25" s="38">
        <f>IFERROR(HistoricalFS!C50,0)</f>
        <v>0.94553805774278232</v>
      </c>
      <c r="D25" s="38">
        <f>IFERROR(HistoricalFS!D50,0)</f>
        <v>0.8826056789069141</v>
      </c>
      <c r="E25" s="38">
        <f>IFERROR(HistoricalFS!E50,0)</f>
        <v>0.85998472213380994</v>
      </c>
      <c r="F25" s="38">
        <f>IFERROR(HistoricalFS!F50,0)</f>
        <v>0.86218045112782016</v>
      </c>
      <c r="G25" s="38">
        <f>IFERROR(HistoricalFS!G50,0)</f>
        <v>0.85263693857862544</v>
      </c>
      <c r="H25" s="38">
        <f>IFERROR(HistoricalFS!H50,0)</f>
        <v>0.76864337253086656</v>
      </c>
      <c r="I25" s="38">
        <f>IFERROR(HistoricalFS!I50,0)</f>
        <v>0.93806984345432642</v>
      </c>
      <c r="J25" s="38">
        <f>IFERROR(HistoricalFS!J50,0)</f>
        <v>0.95501771063822027</v>
      </c>
      <c r="K25" s="38">
        <f>IFERROR(HistoricalFS!K50,0)</f>
        <v>0.97998602155987657</v>
      </c>
      <c r="L25" s="38">
        <f>IFERROR(HistoricalFS!L50,0)</f>
        <v>0.98266778494064588</v>
      </c>
      <c r="M25" s="38"/>
      <c r="N25" s="38">
        <f t="shared" si="4"/>
        <v>0.90273305816138849</v>
      </c>
      <c r="O25" s="38">
        <f t="shared" si="5"/>
        <v>0.91033776118062026</v>
      </c>
    </row>
    <row r="26" spans="1:15" x14ac:dyDescent="0.3">
      <c r="B26" s="46"/>
      <c r="C26" s="47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 spans="1:15" x14ac:dyDescent="0.3">
      <c r="A27" s="53" t="s">
        <v>54</v>
      </c>
      <c r="B27" s="45" t="s">
        <v>117</v>
      </c>
      <c r="C27" s="51"/>
      <c r="D27" s="50"/>
      <c r="E27" s="50"/>
      <c r="F27" s="50"/>
      <c r="G27" s="50"/>
      <c r="H27" s="50"/>
      <c r="I27" s="50"/>
      <c r="J27" s="50"/>
      <c r="K27" s="50"/>
      <c r="L27" s="50"/>
      <c r="M27" s="61"/>
      <c r="N27" s="44"/>
      <c r="O27" s="44"/>
    </row>
    <row r="28" spans="1:15" x14ac:dyDescent="0.3">
      <c r="B28" s="46" t="s">
        <v>118</v>
      </c>
      <c r="C28" s="38">
        <f>IFERROR(HistoricalFS!C24/SUM(HistoricalFS!C53:C55),0)</f>
        <v>4.5360015482385288E-2</v>
      </c>
      <c r="D28" s="38">
        <f>IFERROR(HistoricalFS!D24/SUM(HistoricalFS!D53:D55),0)</f>
        <v>4.1978728748457352E-2</v>
      </c>
      <c r="E28" s="38">
        <f>IFERROR(HistoricalFS!E24/SUM(HistoricalFS!E53:E55),0)</f>
        <v>6.0754701886293276E-2</v>
      </c>
      <c r="F28" s="38">
        <f>IFERROR(HistoricalFS!F24/SUM(HistoricalFS!F53:F55),0)</f>
        <v>6.2056053507013521E-2</v>
      </c>
      <c r="G28" s="38">
        <f>IFERROR(HistoricalFS!G24/SUM(HistoricalFS!G53:G55),0)</f>
        <v>5.8962793273632956E-2</v>
      </c>
      <c r="H28" s="38">
        <f>IFERROR(HistoricalFS!H24/SUM(HistoricalFS!H53:H55),0)</f>
        <v>3.8612576717954337E-2</v>
      </c>
      <c r="I28" s="38">
        <f>IFERROR(HistoricalFS!I24/SUM(HistoricalFS!I53:I55),0)</f>
        <v>7.3987724499072302E-2</v>
      </c>
      <c r="J28" s="38">
        <f>IFERROR(HistoricalFS!J24/SUM(HistoricalFS!J53:J55),0)</f>
        <v>7.9842419843841425E-2</v>
      </c>
      <c r="K28" s="38">
        <f>IFERROR(HistoricalFS!K24/SUM(HistoricalFS!K53:K55),0)</f>
        <v>7.0815592760301693E-2</v>
      </c>
      <c r="L28" s="38">
        <f>IFERROR(HistoricalFS!L24/SUM(HistoricalFS!L53:L55),0)</f>
        <v>4.1885015516582629E-2</v>
      </c>
      <c r="M28" s="38"/>
      <c r="N28" s="38">
        <f t="shared" ref="N28:N32" si="6">IFERROR(AVERAGE(C28:L28),0)</f>
        <v>5.7425562223553481E-2</v>
      </c>
      <c r="O28" s="38">
        <f t="shared" ref="O28:O32" si="7">IFERROR(MEDIAN(C28:L28),0)</f>
        <v>5.9858747579963116E-2</v>
      </c>
    </row>
    <row r="29" spans="1:15" x14ac:dyDescent="0.3">
      <c r="B29" s="46" t="s">
        <v>119</v>
      </c>
      <c r="C29" s="38">
        <f>IFERROR(HistoricalFS!C39/SUM(HistoricalFS!C53:C54),0)</f>
        <v>5.7139340278735927E-2</v>
      </c>
      <c r="D29" s="38">
        <f>IFERROR(HistoricalFS!D39/SUM(HistoricalFS!D53:D54),0)</f>
        <v>2.4833705233620561E-2</v>
      </c>
      <c r="E29" s="38">
        <f>IFERROR(HistoricalFS!E39/SUM(HistoricalFS!E53:E54),0)</f>
        <v>2.1291764536857889E-2</v>
      </c>
      <c r="F29" s="38">
        <f>IFERROR(HistoricalFS!F39/SUM(HistoricalFS!F53:F54),0)</f>
        <v>4.708917497759154E-2</v>
      </c>
      <c r="G29" s="38">
        <f>IFERROR(HistoricalFS!G39/SUM(HistoricalFS!G53:G54),0)</f>
        <v>4.349546611401757E-2</v>
      </c>
      <c r="H29" s="38">
        <f>IFERROR(HistoricalFS!H39/SUM(HistoricalFS!H53:H54),0)</f>
        <v>2.1358694602163213E-2</v>
      </c>
      <c r="I29" s="38">
        <f>IFERROR(HistoricalFS!I39/SUM(HistoricalFS!I53:I54),0)</f>
        <v>6.6834266184301133E-2</v>
      </c>
      <c r="J29" s="38">
        <f>IFERROR(HistoricalFS!J39/SUM(HistoricalFS!J53:J54),0)</f>
        <v>8.4313195102171001E-2</v>
      </c>
      <c r="K29" s="38">
        <f>IFERROR(HistoricalFS!K39/SUM(HistoricalFS!K53:K54),0)</f>
        <v>0.14900950968488491</v>
      </c>
      <c r="L29" s="38">
        <f>IFERROR(HistoricalFS!L39/SUM(HistoricalFS!L53:L54),0)</f>
        <v>0.11978246779926595</v>
      </c>
      <c r="M29" s="38"/>
      <c r="N29" s="38">
        <f t="shared" si="6"/>
        <v>6.3514758451360981E-2</v>
      </c>
      <c r="O29" s="38">
        <f t="shared" si="7"/>
        <v>5.2114257628163733E-2</v>
      </c>
    </row>
    <row r="30" spans="1:15" x14ac:dyDescent="0.3">
      <c r="B30" s="46" t="s">
        <v>120</v>
      </c>
      <c r="C30" s="38">
        <f>IFERROR(HistoricalFS!C39/HistoricalFS!C70,0)</f>
        <v>1.6964819611744873E-2</v>
      </c>
      <c r="D30" s="38">
        <f>IFERROR(HistoricalFS!D39/HistoricalFS!D70,0)</f>
        <v>6.6433426338710199E-3</v>
      </c>
      <c r="E30" s="38">
        <f>IFERROR(HistoricalFS!E39/HistoricalFS!E70,0)</f>
        <v>7.3861827742877422E-3</v>
      </c>
      <c r="F30" s="38">
        <f>IFERROR(HistoricalFS!F39/HistoricalFS!F70,0)</f>
        <v>1.7023978209307965E-2</v>
      </c>
      <c r="G30" s="38">
        <f>IFERROR(HistoricalFS!G39/HistoricalFS!G70,0)</f>
        <v>1.4458880765767341E-2</v>
      </c>
      <c r="H30" s="38">
        <f>IFERROR(HistoricalFS!H39/HistoricalFS!H70,0)</f>
        <v>4.6794668103079147E-3</v>
      </c>
      <c r="I30" s="38">
        <f>IFERROR(HistoricalFS!I39/HistoricalFS!I70,0)</f>
        <v>1.5635360742839239E-2</v>
      </c>
      <c r="J30" s="38">
        <f>IFERROR(HistoricalFS!J39/HistoricalFS!J70,0)</f>
        <v>2.0516265901735997E-2</v>
      </c>
      <c r="K30" s="38">
        <f>IFERROR(HistoricalFS!K39/HistoricalFS!K70,0)</f>
        <v>3.7895020533465794E-2</v>
      </c>
      <c r="L30" s="38">
        <f>IFERROR(HistoricalFS!L39/HistoricalFS!L70,0)</f>
        <v>3.7158623824014275E-2</v>
      </c>
      <c r="M30" s="38"/>
      <c r="N30" s="38">
        <f t="shared" si="6"/>
        <v>1.7836194180734215E-2</v>
      </c>
      <c r="O30" s="38">
        <f t="shared" si="7"/>
        <v>1.6300090177292056E-2</v>
      </c>
    </row>
    <row r="31" spans="1:15" x14ac:dyDescent="0.3">
      <c r="B31" s="46" t="s">
        <v>121</v>
      </c>
      <c r="C31" s="38">
        <f>IFERROR(HistoricalFS!C24*(1-HistoricalFS!C37)/(SUM(HistoricalFS!C53:C54)+HistoricalFS!C55),0)</f>
        <v>3.3959783574881379E-2</v>
      </c>
      <c r="D31" s="38">
        <f>IFERROR(HistoricalFS!D24*(1-HistoricalFS!D37)/(SUM(HistoricalFS!D53:D54)+HistoricalFS!D55),0)</f>
        <v>3.2311626721076854E-2</v>
      </c>
      <c r="E31" s="38">
        <f>IFERROR(HistoricalFS!E24*(1-HistoricalFS!E37)/(SUM(HistoricalFS!E53:E54)+HistoricalFS!E55),0)</f>
        <v>4.1611249212233331E-2</v>
      </c>
      <c r="F31" s="38">
        <f>IFERROR(HistoricalFS!F24*(1-HistoricalFS!F37)/(SUM(HistoricalFS!F53:F54)+HistoricalFS!F55),0)</f>
        <v>4.4123146221340295E-2</v>
      </c>
      <c r="G31" s="38">
        <f>IFERROR(HistoricalFS!G24*(1-HistoricalFS!G37)/(SUM(HistoricalFS!G53:G54)+HistoricalFS!G55),0)</f>
        <v>4.0521480221348397E-2</v>
      </c>
      <c r="H31" s="38">
        <f>IFERROR(HistoricalFS!H24*(1-HistoricalFS!H37)/(SUM(HistoricalFS!H53:H54)+HistoricalFS!H55),0)</f>
        <v>1.9279723327990952E-2</v>
      </c>
      <c r="I31" s="38">
        <f>IFERROR(HistoricalFS!I24*(1-HistoricalFS!I37)/(SUM(HistoricalFS!I53:I54)+HistoricalFS!I55),0)</f>
        <v>5.0335843688396463E-2</v>
      </c>
      <c r="J31" s="38">
        <f>IFERROR(HistoricalFS!J24*(1-HistoricalFS!J37)/(SUM(HistoricalFS!J53:J54)+HistoricalFS!J55),0)</f>
        <v>5.3399057211146066E-2</v>
      </c>
      <c r="K31" s="38">
        <f>IFERROR(HistoricalFS!K24*(1-HistoricalFS!K37)/(SUM(HistoricalFS!K53:K54)+HistoricalFS!K55),0)</f>
        <v>5.0729416343368541E-2</v>
      </c>
      <c r="L31" s="38">
        <f>IFERROR(HistoricalFS!L24*(1-HistoricalFS!L37)/(SUM(HistoricalFS!L53:L54)+HistoricalFS!L55),0)</f>
        <v>3.0020186589544504E-2</v>
      </c>
      <c r="M31" s="38"/>
      <c r="N31" s="38">
        <f t="shared" si="6"/>
        <v>3.9629151311132677E-2</v>
      </c>
      <c r="O31" s="38">
        <f t="shared" si="7"/>
        <v>4.1066364716790864E-2</v>
      </c>
    </row>
    <row r="32" spans="1:15" x14ac:dyDescent="0.3">
      <c r="B32" s="46" t="s">
        <v>95</v>
      </c>
      <c r="C32" s="38">
        <f>IFERROR(C25*C29,0)</f>
        <v>5.4027420827859898E-2</v>
      </c>
      <c r="D32" s="38">
        <f>IFERROR(D25*D29,0)</f>
        <v>2.191836926749386E-2</v>
      </c>
      <c r="E32" s="38">
        <f>IFERROR(E25*E29,0)</f>
        <v>1.8310592208968239E-2</v>
      </c>
      <c r="F32" s="38">
        <f>IFERROR(F25*F29,0)</f>
        <v>4.0599366125416737E-2</v>
      </c>
      <c r="G32" s="38">
        <f>IFERROR(G25*G29,0)</f>
        <v>3.7085841069506284E-2</v>
      </c>
      <c r="H32" s="38">
        <f>IFERROR(H25*H29,0)</f>
        <v>1.6417219051863548E-2</v>
      </c>
      <c r="I32" s="38">
        <f>IFERROR(I25*I29,0)</f>
        <v>6.269520961689215E-2</v>
      </c>
      <c r="J32" s="38">
        <f>IFERROR(J25*J29,0)</f>
        <v>8.0520594563068953E-2</v>
      </c>
      <c r="K32" s="38">
        <f>IFERROR(K25*K29,0)</f>
        <v>0.14602723657067826</v>
      </c>
      <c r="L32" s="38">
        <f>IFERROR(L25*L29,0)</f>
        <v>0.11770637230702891</v>
      </c>
      <c r="M32" s="38"/>
      <c r="N32" s="38">
        <f t="shared" si="6"/>
        <v>5.9530822160877683E-2</v>
      </c>
      <c r="O32" s="38">
        <f t="shared" si="7"/>
        <v>4.7313393476638321E-2</v>
      </c>
    </row>
    <row r="33" spans="1:15" x14ac:dyDescent="0.3"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spans="1:15" x14ac:dyDescent="0.3">
      <c r="A34" s="54" t="s">
        <v>54</v>
      </c>
      <c r="B34" s="45" t="s">
        <v>122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61"/>
      <c r="N34" s="44"/>
      <c r="O34" s="44"/>
    </row>
    <row r="35" spans="1:15" x14ac:dyDescent="0.3">
      <c r="B35" s="36" t="s">
        <v>97</v>
      </c>
      <c r="C35" s="55">
        <f>IFERROR(HistoricalFS!C6/HistoricalFS!C65,0)</f>
        <v>2.8671775854964978</v>
      </c>
      <c r="D35" s="55">
        <f>IFERROR(HistoricalFS!D6/HistoricalFS!D65,0)</f>
        <v>2.9692208381513159</v>
      </c>
      <c r="E35" s="55">
        <f>IFERROR(HistoricalFS!E6/HistoricalFS!E65,0)</f>
        <v>2.8222950535505973</v>
      </c>
      <c r="F35" s="55">
        <f>IFERROR(HistoricalFS!F6/HistoricalFS!F65,0)</f>
        <v>3.3014460850125467</v>
      </c>
      <c r="G35" s="55">
        <f>IFERROR(HistoricalFS!G6/HistoricalFS!G65,0)</f>
        <v>3.2995314058242542</v>
      </c>
      <c r="H35" s="55">
        <f>IFERROR(HistoricalFS!H6/HistoricalFS!H65,0)</f>
        <v>5.0626617630006576</v>
      </c>
      <c r="I35" s="55">
        <f>IFERROR(HistoricalFS!I6/HistoricalFS!I65,0)</f>
        <v>10.160178381375429</v>
      </c>
      <c r="J35" s="55">
        <f>IFERROR(HistoricalFS!J6/HistoricalFS!J65,0)</f>
        <v>9.8459786805378968</v>
      </c>
      <c r="K35" s="55">
        <f>IFERROR(HistoricalFS!K6/HistoricalFS!K65,0)</f>
        <v>10.179904892335754</v>
      </c>
      <c r="L35" s="55">
        <f>IFERROR(HistoricalFS!L6/HistoricalFS!L65,0)</f>
        <v>8.0101836858516684</v>
      </c>
      <c r="M35" s="38"/>
      <c r="N35" s="55">
        <f t="shared" ref="N35:N39" si="8">IFERROR(AVERAGE(C35:L35),0)</f>
        <v>5.8518578371136627</v>
      </c>
      <c r="O35" s="55">
        <f t="shared" ref="O35:O39" si="9">IFERROR(MEDIAN(C35:L35),0)</f>
        <v>4.1820539240066026</v>
      </c>
    </row>
    <row r="36" spans="1:15" x14ac:dyDescent="0.3">
      <c r="B36" t="s">
        <v>98</v>
      </c>
      <c r="C36" s="48">
        <f>IFERROR(HistoricalFS!C6/HistoricalFS!C56,0)</f>
        <v>2.8925967039805918</v>
      </c>
      <c r="D36" s="48">
        <f>IFERROR(HistoricalFS!D6/HistoricalFS!D56,0)</f>
        <v>1.5170907469251858</v>
      </c>
      <c r="E36" s="48">
        <f>IFERROR(HistoricalFS!E6/HistoricalFS!E56,0)</f>
        <v>2.441710245606227</v>
      </c>
      <c r="F36" s="48">
        <f>IFERROR(HistoricalFS!F6/HistoricalFS!F56,0)</f>
        <v>2.4788445382110766</v>
      </c>
      <c r="G36" s="48">
        <f>IFERROR(HistoricalFS!G6/HistoricalFS!G56,0)</f>
        <v>2.1686651758068223</v>
      </c>
      <c r="H36" s="48">
        <f>IFERROR(HistoricalFS!H6/HistoricalFS!H56,0)</f>
        <v>1.8401238197075636</v>
      </c>
      <c r="I36" s="48">
        <f>IFERROR(HistoricalFS!I6/HistoricalFS!I56,0)</f>
        <v>2.3177617682661658</v>
      </c>
      <c r="J36" s="48">
        <f>IFERROR(HistoricalFS!J6/HistoricalFS!J56,0)</f>
        <v>1.7156758007117436</v>
      </c>
      <c r="K36" s="48">
        <f>IFERROR(HistoricalFS!K6/HistoricalFS!K56,0)</f>
        <v>1.7463645038355182</v>
      </c>
      <c r="L36" s="48">
        <f>IFERROR(HistoricalFS!L6/HistoricalFS!L56,0)</f>
        <v>1.3702636801860977</v>
      </c>
      <c r="M36" s="38"/>
      <c r="N36" s="55">
        <f t="shared" si="8"/>
        <v>2.0489096983236994</v>
      </c>
      <c r="O36" s="55">
        <f t="shared" si="9"/>
        <v>2.0043944977571928</v>
      </c>
    </row>
    <row r="37" spans="1:15" x14ac:dyDescent="0.3">
      <c r="B37" t="s">
        <v>99</v>
      </c>
      <c r="C37" s="48">
        <f>IFERROR(HistoricalFS!C9/HistoricalFS!C66,0)</f>
        <v>20.225685574187295</v>
      </c>
      <c r="D37" s="48">
        <f>IFERROR(HistoricalFS!D9/HistoricalFS!D66,0)</f>
        <v>13.99115070691893</v>
      </c>
      <c r="E37" s="48">
        <f>IFERROR(HistoricalFS!E9/HistoricalFS!E66,0)</f>
        <v>13.689799237116029</v>
      </c>
      <c r="F37" s="48">
        <f>IFERROR(HistoricalFS!F9/HistoricalFS!F66,0)</f>
        <v>15.013866069303026</v>
      </c>
      <c r="G37" s="48">
        <f>IFERROR(HistoricalFS!G9/HistoricalFS!G66,0)</f>
        <v>20.17567044574967</v>
      </c>
      <c r="H37" s="48">
        <f>IFERROR(HistoricalFS!H9/HistoricalFS!H66,0)</f>
        <v>9.2441899862704542</v>
      </c>
      <c r="I37" s="48">
        <f>IFERROR(HistoricalFS!I9/HistoricalFS!I66,0)</f>
        <v>15.866063413823259</v>
      </c>
      <c r="J37" s="48">
        <f>IFERROR(HistoricalFS!J9/HistoricalFS!J66,0)</f>
        <v>7.9629814290502861</v>
      </c>
      <c r="K37" s="48">
        <f>IFERROR(HistoricalFS!K9/HistoricalFS!K66,0)</f>
        <v>7.1439986235575779</v>
      </c>
      <c r="L37" s="48">
        <f>IFERROR(HistoricalFS!L9/HistoricalFS!L66,0)</f>
        <v>4.0358724265189192</v>
      </c>
      <c r="M37" s="38"/>
      <c r="N37" s="55">
        <f t="shared" si="8"/>
        <v>12.734927791249545</v>
      </c>
      <c r="O37" s="55">
        <f t="shared" si="9"/>
        <v>13.840474972017478</v>
      </c>
    </row>
    <row r="38" spans="1:15" x14ac:dyDescent="0.3">
      <c r="B38" t="s">
        <v>100</v>
      </c>
      <c r="C38" s="48">
        <f>IFERROR(HistoricalFS!C6/HistoricalFS!C59,0)</f>
        <v>2.6728792403851922</v>
      </c>
      <c r="D38" s="48">
        <f>IFERROR(HistoricalFS!D6/HistoricalFS!D59,0)</f>
        <v>3.4034366032255221</v>
      </c>
      <c r="E38" s="48">
        <f>IFERROR(HistoricalFS!E6/HistoricalFS!E59,0)</f>
        <v>4.4765152531399286</v>
      </c>
      <c r="F38" s="48">
        <f>IFERROR(HistoricalFS!F6/HistoricalFS!F59,0)</f>
        <v>4.142865051744578</v>
      </c>
      <c r="G38" s="48">
        <f>IFERROR(HistoricalFS!G6/HistoricalFS!G59,0)</f>
        <v>3.6481410569304482</v>
      </c>
      <c r="H38" s="48">
        <f>IFERROR(HistoricalFS!H6/HistoricalFS!H59,0)</f>
        <v>2.3045749112714398</v>
      </c>
      <c r="I38" s="48">
        <f>IFERROR(HistoricalFS!I6/HistoricalFS!I59,0)</f>
        <v>2.2422110812496165</v>
      </c>
      <c r="J38" s="48">
        <f>IFERROR(HistoricalFS!J6/HistoricalFS!J59,0)</f>
        <v>1.4614044314570092</v>
      </c>
      <c r="K38" s="48">
        <f>IFERROR(HistoricalFS!K6/HistoricalFS!K59,0)</f>
        <v>1.267079635113268</v>
      </c>
      <c r="L38" s="48">
        <f>IFERROR(HistoricalFS!L6/HistoricalFS!L59,0)</f>
        <v>0.87232166757355689</v>
      </c>
      <c r="M38" s="38"/>
      <c r="N38" s="55">
        <f t="shared" si="8"/>
        <v>2.6491428932090568</v>
      </c>
      <c r="O38" s="55">
        <f t="shared" si="9"/>
        <v>2.488727075828316</v>
      </c>
    </row>
    <row r="39" spans="1:15" x14ac:dyDescent="0.3">
      <c r="B39" t="s">
        <v>101</v>
      </c>
      <c r="C39" s="48">
        <f>IFERROR(HistoricalFS!C6/(SUM(HistoricalFS!C53:C54)+HistoricalFS!C55),0)</f>
        <v>1.0443423402357062</v>
      </c>
      <c r="D39" s="48">
        <f>IFERROR(HistoricalFS!D6/(SUM(HistoricalFS!D53:D54)+HistoricalFS!D55),0)</f>
        <v>1.0977227183640093</v>
      </c>
      <c r="E39" s="48">
        <f>IFERROR(HistoricalFS!E6/(SUM(HistoricalFS!E53:E54)+HistoricalFS!E55),0)</f>
        <v>1.5530767556157627</v>
      </c>
      <c r="F39" s="48">
        <f>IFERROR(HistoricalFS!F6/(SUM(HistoricalFS!F53:F54)+HistoricalFS!F55),0)</f>
        <v>1.4779933303525488</v>
      </c>
      <c r="G39" s="48">
        <f>IFERROR(HistoricalFS!G6/(SUM(HistoricalFS!G53:G54)+HistoricalFS!G55),0)</f>
        <v>1.1842559208857224</v>
      </c>
      <c r="H39" s="48">
        <f>IFERROR(HistoricalFS!H6/(SUM(HistoricalFS!H53:H54)+HistoricalFS!H55),0)</f>
        <v>1.0870590821812656</v>
      </c>
      <c r="I39" s="48">
        <f>IFERROR(HistoricalFS!I6/(SUM(HistoricalFS!I53:I54)+HistoricalFS!I55),0)</f>
        <v>1.4786936384968279</v>
      </c>
      <c r="J39" s="48">
        <f>IFERROR(HistoricalFS!J6/(SUM(HistoricalFS!J53:J54)+HistoricalFS!J55),0)</f>
        <v>0.92369434898699299</v>
      </c>
      <c r="K39" s="48">
        <f>IFERROR(HistoricalFS!K6/(SUM(HistoricalFS!K53:K54)+HistoricalFS!K55),0)</f>
        <v>0.69043739474055965</v>
      </c>
      <c r="L39" s="48">
        <f>IFERROR(HistoricalFS!L6/(SUM(HistoricalFS!L53:L54)+HistoricalFS!L55),0)</f>
        <v>0.53569619127375256</v>
      </c>
      <c r="M39" s="38"/>
      <c r="N39" s="55">
        <f t="shared" si="8"/>
        <v>1.1072971721133149</v>
      </c>
      <c r="O39" s="55">
        <f t="shared" si="9"/>
        <v>1.0923909002726373</v>
      </c>
    </row>
    <row r="40" spans="1:15" x14ac:dyDescent="0.3">
      <c r="M40" s="38"/>
    </row>
    <row r="41" spans="1:15" x14ac:dyDescent="0.3">
      <c r="A41" s="53" t="s">
        <v>54</v>
      </c>
      <c r="B41" s="45" t="s">
        <v>129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61"/>
      <c r="N41" s="44"/>
      <c r="O41" s="44"/>
    </row>
    <row r="42" spans="1:15" x14ac:dyDescent="0.3">
      <c r="B42" s="46" t="s">
        <v>102</v>
      </c>
      <c r="C42" s="56">
        <f>IFERROR(365/C35,0)</f>
        <v>127.3028925192279</v>
      </c>
      <c r="D42" s="56">
        <f t="shared" ref="D42:L42" si="10">IFERROR(365/D35,0)</f>
        <v>122.92787229233336</v>
      </c>
      <c r="E42" s="56">
        <f t="shared" si="10"/>
        <v>129.32737119062395</v>
      </c>
      <c r="F42" s="56">
        <f t="shared" si="10"/>
        <v>110.55761342188111</v>
      </c>
      <c r="G42" s="56">
        <f t="shared" si="10"/>
        <v>110.6217687019771</v>
      </c>
      <c r="H42" s="56">
        <f t="shared" si="10"/>
        <v>72.096461720496848</v>
      </c>
      <c r="I42" s="56">
        <f t="shared" si="10"/>
        <v>35.924566114811491</v>
      </c>
      <c r="J42" s="56">
        <f t="shared" si="10"/>
        <v>37.070972002151407</v>
      </c>
      <c r="K42" s="56">
        <f t="shared" si="10"/>
        <v>35.854951874334425</v>
      </c>
      <c r="L42" s="56">
        <f t="shared" si="10"/>
        <v>45.566995004708438</v>
      </c>
      <c r="M42" s="38"/>
      <c r="N42" s="56">
        <f t="shared" ref="N42:N45" si="11">IFERROR(AVERAGE(C42:L42),0)</f>
        <v>82.725146484254594</v>
      </c>
      <c r="O42" s="56">
        <f t="shared" ref="O42:O45" si="12">IFERROR(MEDIAN(C42:L42),0)</f>
        <v>91.327037571188981</v>
      </c>
    </row>
    <row r="43" spans="1:15" x14ac:dyDescent="0.3">
      <c r="B43" s="46" t="s">
        <v>103</v>
      </c>
      <c r="C43" s="56">
        <f>IFERROR(365/C36,0)</f>
        <v>126.18419964930203</v>
      </c>
      <c r="D43" s="56">
        <f t="shared" ref="D43:L43" si="13">IFERROR(365/D36,0)</f>
        <v>240.59206790350277</v>
      </c>
      <c r="E43" s="56">
        <f t="shared" si="13"/>
        <v>149.48538658786597</v>
      </c>
      <c r="F43" s="56">
        <f t="shared" si="13"/>
        <v>147.24602304564522</v>
      </c>
      <c r="G43" s="56">
        <f t="shared" si="13"/>
        <v>168.30629461470775</v>
      </c>
      <c r="H43" s="56">
        <f t="shared" si="13"/>
        <v>198.35621716912866</v>
      </c>
      <c r="I43" s="56">
        <f t="shared" si="13"/>
        <v>157.47951536582787</v>
      </c>
      <c r="J43" s="56">
        <f t="shared" si="13"/>
        <v>212.74415588806505</v>
      </c>
      <c r="K43" s="56">
        <f t="shared" si="13"/>
        <v>209.00562236483572</v>
      </c>
      <c r="L43" s="56">
        <f t="shared" si="13"/>
        <v>266.37208975022151</v>
      </c>
      <c r="M43" s="38"/>
      <c r="N43" s="56">
        <f t="shared" si="11"/>
        <v>187.57715723391024</v>
      </c>
      <c r="O43" s="56">
        <f t="shared" si="12"/>
        <v>183.3312558919182</v>
      </c>
    </row>
    <row r="44" spans="1:15" x14ac:dyDescent="0.3">
      <c r="B44" s="46" t="s">
        <v>104</v>
      </c>
      <c r="C44" s="56">
        <f>IFERROR(365/C37,0)</f>
        <v>18.046359845810386</v>
      </c>
      <c r="D44" s="56">
        <f t="shared" ref="D44:L44" si="14">IFERROR(365/D37,0)</f>
        <v>26.087918545506021</v>
      </c>
      <c r="E44" s="56">
        <f t="shared" si="14"/>
        <v>26.662187931171808</v>
      </c>
      <c r="F44" s="56">
        <f t="shared" si="14"/>
        <v>24.31086026178626</v>
      </c>
      <c r="G44" s="56">
        <f t="shared" si="14"/>
        <v>18.091096451116602</v>
      </c>
      <c r="H44" s="56">
        <f t="shared" si="14"/>
        <v>39.484259901851971</v>
      </c>
      <c r="I44" s="56">
        <f t="shared" si="14"/>
        <v>23.005076336830651</v>
      </c>
      <c r="J44" s="56">
        <f t="shared" si="14"/>
        <v>45.837103006220637</v>
      </c>
      <c r="K44" s="56">
        <f t="shared" si="14"/>
        <v>51.091835151871408</v>
      </c>
      <c r="L44" s="56">
        <f t="shared" si="14"/>
        <v>90.438933996440824</v>
      </c>
      <c r="M44" s="38"/>
      <c r="N44" s="56">
        <f t="shared" si="11"/>
        <v>36.305563142860663</v>
      </c>
      <c r="O44" s="56">
        <f t="shared" si="12"/>
        <v>26.375053238338914</v>
      </c>
    </row>
    <row r="45" spans="1:15" x14ac:dyDescent="0.3">
      <c r="B45" s="46" t="s">
        <v>105</v>
      </c>
      <c r="C45" s="56">
        <f>IFERROR(SUM(C42,C44)-C43,0)</f>
        <v>19.165052715736266</v>
      </c>
      <c r="D45" s="56">
        <f t="shared" ref="D45:L45" si="15">IFERROR(SUM(D42,D44)-D43,0)</f>
        <v>-91.57627706566339</v>
      </c>
      <c r="E45" s="56">
        <f t="shared" si="15"/>
        <v>6.5041725339297898</v>
      </c>
      <c r="F45" s="56">
        <f t="shared" si="15"/>
        <v>-12.377549361977827</v>
      </c>
      <c r="G45" s="56">
        <f t="shared" si="15"/>
        <v>-39.593429461614051</v>
      </c>
      <c r="H45" s="56">
        <f t="shared" si="15"/>
        <v>-86.775495546779837</v>
      </c>
      <c r="I45" s="56">
        <f t="shared" si="15"/>
        <v>-98.549872914185727</v>
      </c>
      <c r="J45" s="56">
        <f t="shared" si="15"/>
        <v>-129.83608087969301</v>
      </c>
      <c r="K45" s="56">
        <f t="shared" si="15"/>
        <v>-122.05883533862988</v>
      </c>
      <c r="L45" s="56">
        <f t="shared" si="15"/>
        <v>-130.36616074907224</v>
      </c>
      <c r="M45" s="38"/>
      <c r="N45" s="56">
        <f t="shared" si="11"/>
        <v>-68.546447606794999</v>
      </c>
      <c r="O45" s="56">
        <f t="shared" si="12"/>
        <v>-89.175886306221614</v>
      </c>
    </row>
    <row r="46" spans="1:15" x14ac:dyDescent="0.3">
      <c r="B46" s="46"/>
      <c r="M46" s="38"/>
    </row>
    <row r="47" spans="1:15" x14ac:dyDescent="0.3">
      <c r="A47" s="53" t="s">
        <v>54</v>
      </c>
      <c r="B47" s="45" t="s">
        <v>126</v>
      </c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61"/>
      <c r="N47" s="44"/>
      <c r="O47" s="44"/>
    </row>
    <row r="48" spans="1:15" x14ac:dyDescent="0.3">
      <c r="B48" s="46" t="s">
        <v>127</v>
      </c>
      <c r="C48" s="49">
        <f>IFERROR(HistoricalFS!C55/SUM(HistoricalFS!C53:C54),0)</f>
        <v>1.4746579116961909</v>
      </c>
      <c r="D48" s="49">
        <f>IFERROR(HistoricalFS!D55/SUM(HistoricalFS!D53:D54),0)</f>
        <v>1.1688310225148235</v>
      </c>
      <c r="E48" s="49">
        <f>IFERROR(HistoricalFS!E55/SUM(HistoricalFS!E53:E54),0)</f>
        <v>0.76194400356737702</v>
      </c>
      <c r="F48" s="49">
        <f>IFERROR(HistoricalFS!F55/SUM(HistoricalFS!F53:F54),0)</f>
        <v>0.73285036441002516</v>
      </c>
      <c r="G48" s="49">
        <f>IFERROR(HistoricalFS!G55/SUM(HistoricalFS!G53:G54),0)</f>
        <v>0.94571167643923704</v>
      </c>
      <c r="H48" s="49">
        <f>IFERROR(HistoricalFS!H55/SUM(HistoricalFS!H53:H54),0)</f>
        <v>1.8692971180117639</v>
      </c>
      <c r="I48" s="49">
        <f>IFERROR(HistoricalFS!I55/SUM(HistoricalFS!I53:I54),0)</f>
        <v>1.6096470274282086</v>
      </c>
      <c r="J48" s="49">
        <f>IFERROR(HistoricalFS!J55/SUM(HistoricalFS!J53:J54),0)</f>
        <v>1.6713583677384305</v>
      </c>
      <c r="K48" s="49">
        <f>IFERROR(HistoricalFS!K55/SUM(HistoricalFS!K53:K54),0)</f>
        <v>1.8180358258352503</v>
      </c>
      <c r="L48" s="49">
        <f>IFERROR(HistoricalFS!L55/SUM(HistoricalFS!L53:L54),0)</f>
        <v>1.3175228712174523</v>
      </c>
      <c r="M48" s="38"/>
      <c r="N48" s="49">
        <f t="shared" ref="N48:N50" si="16">IFERROR(AVERAGE(C48:L48),0)</f>
        <v>1.336985618885876</v>
      </c>
      <c r="O48" s="56">
        <f t="shared" ref="O48:O50" si="17">IFERROR(MEDIAN(C48:L48),0)</f>
        <v>1.3960903914568217</v>
      </c>
    </row>
    <row r="49" spans="1:15" x14ac:dyDescent="0.3">
      <c r="B49" s="46" t="s">
        <v>128</v>
      </c>
      <c r="C49" s="49">
        <f>IFERROR(HistoricalFS!C55/HistoricalFS!C70,0)</f>
        <v>0.43782979185477788</v>
      </c>
      <c r="D49" s="49">
        <f>IFERROR(HistoricalFS!D55/HistoricalFS!D70,0)</f>
        <v>0.3126776649161232</v>
      </c>
      <c r="E49" s="49">
        <f>IFERROR(HistoricalFS!E55/HistoricalFS!E70,0)</f>
        <v>0.26432086755322176</v>
      </c>
      <c r="F49" s="49">
        <f>IFERROR(HistoricalFS!F55/HistoricalFS!F70,0)</f>
        <v>0.26494472753741544</v>
      </c>
      <c r="G49" s="49">
        <f>IFERROR(HistoricalFS!G55/HistoricalFS!G70,0)</f>
        <v>0.31437603939188696</v>
      </c>
      <c r="H49" s="49">
        <f>IFERROR(HistoricalFS!H55/HistoricalFS!H70,0)</f>
        <v>0.40954346626850296</v>
      </c>
      <c r="I49" s="49">
        <f>IFERROR(HistoricalFS!I55/HistoricalFS!I70,0)</f>
        <v>0.37656449871204728</v>
      </c>
      <c r="J49" s="49">
        <f>IFERROR(HistoricalFS!J55/HistoricalFS!J70,0)</f>
        <v>0.40669829494731308</v>
      </c>
      <c r="K49" s="49">
        <f>IFERROR(HistoricalFS!K55/HistoricalFS!K70,0)</f>
        <v>0.46234971913065565</v>
      </c>
      <c r="L49" s="49">
        <f>IFERROR(HistoricalFS!L55/HistoricalFS!L70,0)</f>
        <v>0.4087187186120449</v>
      </c>
      <c r="M49" s="38"/>
      <c r="N49" s="49">
        <f t="shared" si="16"/>
        <v>0.36580237889239897</v>
      </c>
      <c r="O49" s="56">
        <f t="shared" si="17"/>
        <v>0.39163139682968018</v>
      </c>
    </row>
    <row r="50" spans="1:15" x14ac:dyDescent="0.3">
      <c r="B50" s="39" t="s">
        <v>96</v>
      </c>
      <c r="C50" s="57">
        <f>IFERROR(HistoricalFS!C24/HistoricalFS!C30,0)</f>
        <v>1.2620356157192758</v>
      </c>
      <c r="D50" s="57">
        <f>IFERROR(HistoricalFS!D24/HistoricalFS!D30,0)</f>
        <v>1.0988825519729239</v>
      </c>
      <c r="E50" s="57">
        <f>IFERROR(HistoricalFS!E24/HistoricalFS!E30,0)</f>
        <v>0.97200120610189278</v>
      </c>
      <c r="F50" s="57">
        <f>IFERROR(HistoricalFS!F24/HistoricalFS!F30,0)</f>
        <v>1.1590070723516861</v>
      </c>
      <c r="G50" s="57">
        <f>IFERROR(HistoricalFS!G24/HistoricalFS!G30,0)</f>
        <v>1.4297200130733185</v>
      </c>
      <c r="H50" s="57">
        <f>IFERROR(HistoricalFS!H24/HistoricalFS!H30,0)</f>
        <v>0.97622214832058185</v>
      </c>
      <c r="I50" s="57">
        <f>IFERROR(HistoricalFS!I24/HistoricalFS!I30,0)</f>
        <v>1.6078888356975483</v>
      </c>
      <c r="J50" s="57">
        <f>IFERROR(HistoricalFS!J24/HistoricalFS!J30,0)</f>
        <v>1.8298570707181578</v>
      </c>
      <c r="K50" s="57">
        <f>IFERROR(HistoricalFS!K24/HistoricalFS!K30,0)</f>
        <v>1.6796029454568584</v>
      </c>
      <c r="L50" s="57">
        <f>IFERROR(HistoricalFS!L24/HistoricalFS!L30,0)</f>
        <v>1.3050811414293126</v>
      </c>
      <c r="M50" s="38"/>
      <c r="N50" s="49">
        <f t="shared" si="16"/>
        <v>1.3320298600841556</v>
      </c>
      <c r="O50" s="56">
        <f t="shared" si="17"/>
        <v>1.2835583785742943</v>
      </c>
    </row>
    <row r="51" spans="1:15" x14ac:dyDescent="0.3">
      <c r="B51" s="46"/>
      <c r="M51" s="38"/>
    </row>
    <row r="52" spans="1:15" x14ac:dyDescent="0.3">
      <c r="A52" s="53" t="s">
        <v>54</v>
      </c>
      <c r="B52" s="45" t="s">
        <v>130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61"/>
      <c r="N52" s="44"/>
      <c r="O52" s="44"/>
    </row>
    <row r="53" spans="1:15" x14ac:dyDescent="0.3">
      <c r="B53" s="46" t="s">
        <v>131</v>
      </c>
      <c r="C53" s="38">
        <f>IFERROR(HistoricalFS!C75/HistoricalFS!C6,0)</f>
        <v>2.118832196548532E-2</v>
      </c>
      <c r="D53" s="38">
        <f>IFERROR(HistoricalFS!D75/HistoricalFS!D6,0)</f>
        <v>8.1906150553725757E-2</v>
      </c>
      <c r="E53" s="38">
        <f>IFERROR(HistoricalFS!E75/HistoricalFS!E6,0)</f>
        <v>8.0139360741540211E-2</v>
      </c>
      <c r="F53" s="38">
        <f>IFERROR(HistoricalFS!F75/HistoricalFS!F6,0)</f>
        <v>5.653030604646362E-2</v>
      </c>
      <c r="G53" s="38">
        <f>IFERROR(HistoricalFS!G75/HistoricalFS!G6,0)</f>
        <v>0.10226614830160916</v>
      </c>
      <c r="H53" s="38">
        <f>IFERROR(HistoricalFS!H75/HistoricalFS!H6,0)</f>
        <v>1.9955004438190743E-2</v>
      </c>
      <c r="I53" s="38">
        <f>IFERROR(HistoricalFS!I75/HistoricalFS!I6,0)</f>
        <v>0.13820392897886535</v>
      </c>
      <c r="J53" s="38">
        <f>IFERROR(HistoricalFS!J75/HistoricalFS!J6,0)</f>
        <v>0.10694964933980136</v>
      </c>
      <c r="K53" s="38">
        <f>IFERROR(HistoricalFS!K75/HistoricalFS!K6,0)</f>
        <v>4.610155294333966E-2</v>
      </c>
      <c r="L53" s="38">
        <f>IFERROR(HistoricalFS!L75/HistoricalFS!L6,0)</f>
        <v>2.3459167992868617E-2</v>
      </c>
      <c r="M53" s="38"/>
      <c r="N53" s="38">
        <f t="shared" ref="N53:N56" si="18">IFERROR(AVERAGE(C53:L53),0)</f>
        <v>6.7669959130188972E-2</v>
      </c>
      <c r="O53" s="38">
        <f t="shared" ref="O53:O56" si="19">IFERROR(MEDIAN(C53:L53),0)</f>
        <v>6.8334833394001912E-2</v>
      </c>
    </row>
    <row r="54" spans="1:15" x14ac:dyDescent="0.3">
      <c r="B54" s="46" t="s">
        <v>132</v>
      </c>
      <c r="C54" s="48">
        <f>IFERROR(HistoricalFS!C75/HistoricalFS!C39,0)</f>
        <v>0.95833952359728314</v>
      </c>
      <c r="D54" s="48">
        <f>IFERROR(HistoricalFS!D75/HistoricalFS!D39,0)</f>
        <v>7.8522363364647614</v>
      </c>
      <c r="E54" s="48">
        <f>IFERROR(HistoricalFS!E75/HistoricalFS!E39,0)</f>
        <v>10.299573492902066</v>
      </c>
      <c r="F54" s="48">
        <f>IFERROR(HistoricalFS!F75/HistoricalFS!F39,0)</f>
        <v>3.0746365914786837</v>
      </c>
      <c r="G54" s="48">
        <f>IFERROR(HistoricalFS!G75/HistoricalFS!G39,0)</f>
        <v>5.4176626648086721</v>
      </c>
      <c r="H54" s="48">
        <f>IFERROR(HistoricalFS!H75/HistoricalFS!H39,0)</f>
        <v>2.9141090098239784</v>
      </c>
      <c r="I54" s="48">
        <f>IFERROR(HistoricalFS!I75/HistoricalFS!I39,0)</f>
        <v>7.9796010756290388</v>
      </c>
      <c r="J54" s="48">
        <f>IFERROR(HistoricalFS!J75/HistoricalFS!J39,0)</f>
        <v>3.1299994233039894</v>
      </c>
      <c r="K54" s="48">
        <f>IFERROR(HistoricalFS!K75/HistoricalFS!K39,0)</f>
        <v>0.60196658512576529</v>
      </c>
      <c r="L54" s="48">
        <f>IFERROR(HistoricalFS!L75/HistoricalFS!L39,0)</f>
        <v>0.24314309264652309</v>
      </c>
      <c r="M54" s="38"/>
      <c r="N54" s="48">
        <f t="shared" si="18"/>
        <v>4.2471267795780765</v>
      </c>
      <c r="O54" s="48">
        <f t="shared" si="19"/>
        <v>3.1023180073913368</v>
      </c>
    </row>
    <row r="55" spans="1:15" x14ac:dyDescent="0.3">
      <c r="B55" s="46" t="s">
        <v>133</v>
      </c>
      <c r="C55" s="38">
        <f>IFERROR(HistoricalFS!C75/HistoricalFS!C70,0)</f>
        <v>1.6258057144633426E-2</v>
      </c>
      <c r="D55" s="38">
        <f>IFERROR(HistoricalFS!D75/HistoricalFS!D70,0)</f>
        <v>5.2165096425267538E-2</v>
      </c>
      <c r="E55" s="38">
        <f>IFERROR(HistoricalFS!E75/HistoricalFS!E70,0)</f>
        <v>7.6074532315783885E-2</v>
      </c>
      <c r="F55" s="38">
        <f>IFERROR(HistoricalFS!F75/HistoricalFS!F70,0)</f>
        <v>5.2342546334874028E-2</v>
      </c>
      <c r="G55" s="38">
        <f>IFERROR(HistoricalFS!G75/HistoricalFS!G70,0)</f>
        <v>7.8333338499617947E-2</v>
      </c>
      <c r="H55" s="38">
        <f>IFERROR(HistoricalFS!H75/HistoricalFS!H70,0)</f>
        <v>1.3636476393090569E-2</v>
      </c>
      <c r="I55" s="38">
        <f>IFERROR(HistoricalFS!I75/HistoricalFS!I70,0)</f>
        <v>0.12476394140140804</v>
      </c>
      <c r="J55" s="38">
        <f>IFERROR(HistoricalFS!J75/HistoricalFS!J70,0)</f>
        <v>6.421590044078497E-2</v>
      </c>
      <c r="K55" s="38">
        <f>IFERROR(HistoricalFS!K75/HistoricalFS!K70,0)</f>
        <v>2.2811536103801159E-2</v>
      </c>
      <c r="L55" s="38">
        <f>IFERROR(HistoricalFS!L75/HistoricalFS!L70,0)</f>
        <v>9.034862715059603E-3</v>
      </c>
      <c r="M55" s="38"/>
      <c r="N55" s="38">
        <f t="shared" si="18"/>
        <v>5.0963628777432116E-2</v>
      </c>
      <c r="O55" s="38">
        <f t="shared" si="19"/>
        <v>5.2253821380070786E-2</v>
      </c>
    </row>
    <row r="56" spans="1:15" x14ac:dyDescent="0.3">
      <c r="B56" s="46" t="s">
        <v>134</v>
      </c>
      <c r="C56" s="38">
        <f>IFERROR(HistoricalFS!C75/HistoricalFS!C55,0)</f>
        <v>3.7133282035832778E-2</v>
      </c>
      <c r="D56" s="38">
        <f>IFERROR(HistoricalFS!D75/HistoricalFS!D55,0)</f>
        <v>0.16683345911279271</v>
      </c>
      <c r="E56" s="38">
        <f>IFERROR(HistoricalFS!E75/HistoricalFS!E55,0)</f>
        <v>0.28781129927422794</v>
      </c>
      <c r="F56" s="38">
        <f>IFERROR(HistoricalFS!F75/HistoricalFS!F55,0)</f>
        <v>0.1975602489673331</v>
      </c>
      <c r="G56" s="38">
        <f>IFERROR(HistoricalFS!G75/HistoricalFS!G55,0)</f>
        <v>0.24917082946633587</v>
      </c>
      <c r="H56" s="38">
        <f>IFERROR(HistoricalFS!H75/HistoricalFS!H55,0)</f>
        <v>3.3296774374982421E-2</v>
      </c>
      <c r="I56" s="38">
        <f>IFERROR(HistoricalFS!I75/HistoricalFS!I55,0)</f>
        <v>0.33132157127964684</v>
      </c>
      <c r="J56" s="38">
        <f>IFERROR(HistoricalFS!J75/HistoricalFS!J55,0)</f>
        <v>0.1578956716528748</v>
      </c>
      <c r="K56" s="38">
        <f>IFERROR(HistoricalFS!K75/HistoricalFS!K55,0)</f>
        <v>4.9338271788491858E-2</v>
      </c>
      <c r="L56" s="38">
        <f>IFERROR(HistoricalFS!L75/HistoricalFS!L55,0)</f>
        <v>2.2105331377385431E-2</v>
      </c>
      <c r="M56" s="38"/>
      <c r="N56" s="38">
        <f t="shared" si="18"/>
        <v>0.15324667393299035</v>
      </c>
      <c r="O56" s="38">
        <f t="shared" si="19"/>
        <v>0.16236456538283375</v>
      </c>
    </row>
    <row r="57" spans="1:15" x14ac:dyDescent="0.3">
      <c r="M57" s="38"/>
    </row>
    <row r="58" spans="1:15" x14ac:dyDescent="0.3">
      <c r="A58" s="53" t="s">
        <v>54</v>
      </c>
      <c r="B58" s="45" t="s">
        <v>123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61"/>
      <c r="N58" s="44"/>
      <c r="O58" s="44"/>
    </row>
    <row r="59" spans="1:15" x14ac:dyDescent="0.3">
      <c r="B59" t="s">
        <v>106</v>
      </c>
      <c r="C59" s="48">
        <f>IFERROR('Data Sheet'!B90/HistoricalFS!C44,0)</f>
        <v>10.724035061654993</v>
      </c>
      <c r="D59" s="48">
        <f>IFERROR('Data Sheet'!C90/HistoricalFS!D44,0)</f>
        <v>33.303175170795051</v>
      </c>
      <c r="E59" s="48">
        <f>IFERROR('Data Sheet'!D90/HistoricalFS!E44,0)</f>
        <v>55.779548666369109</v>
      </c>
      <c r="F59" s="48">
        <f>IFERROR('Data Sheet'!E90/HistoricalFS!F44,0)</f>
        <v>20.591744360902169</v>
      </c>
      <c r="G59" s="48">
        <f>IFERROR('Data Sheet'!F90/HistoricalFS!G44,0)</f>
        <v>164.99702862043125</v>
      </c>
      <c r="H59" s="48">
        <f>IFERROR('Data Sheet'!G90/HistoricalFS!H44,0)</f>
        <v>506.14005637714683</v>
      </c>
      <c r="I59" s="48">
        <f>IFERROR('Data Sheet'!H90/HistoricalFS!I44,0)</f>
        <v>98.09142267331849</v>
      </c>
      <c r="J59" s="48">
        <f>IFERROR('Data Sheet'!I90/HistoricalFS!J44,0)</f>
        <v>120.1194875297077</v>
      </c>
      <c r="K59" s="48">
        <f>IFERROR('Data Sheet'!J90/HistoricalFS!K44,0)</f>
        <v>38.711203172892453</v>
      </c>
      <c r="L59" s="48">
        <f>IFERROR('Data Sheet'!K90/HistoricalFS!L44,0)</f>
        <v>23.434917589191098</v>
      </c>
      <c r="M59" s="38"/>
      <c r="N59" s="48">
        <f t="shared" ref="N59:N61" si="20">IFERROR(AVERAGE(C59:L59),0)</f>
        <v>107.18926192224092</v>
      </c>
      <c r="O59" s="48">
        <f t="shared" ref="O59:O61" si="21">IFERROR(MEDIAN(C59:L59),0)</f>
        <v>47.245375919630781</v>
      </c>
    </row>
    <row r="60" spans="1:15" x14ac:dyDescent="0.3">
      <c r="B60" s="46" t="s">
        <v>124</v>
      </c>
      <c r="C60" s="48">
        <f>IFERROR(('Data Sheet'!B90*HistoricalFS!C42)/HistoricalFS!C6,0)</f>
        <v>0.23710209384099681</v>
      </c>
      <c r="D60" s="48">
        <f>IFERROR(('Data Sheet'!C90*HistoricalFS!D42)/HistoricalFS!D6,0)</f>
        <v>0.34738318646740118</v>
      </c>
      <c r="E60" s="48">
        <f>IFERROR(('Data Sheet'!D90*HistoricalFS!E42)/HistoricalFS!E6,0)</f>
        <v>0.43401189142978003</v>
      </c>
      <c r="F60" s="48">
        <f>IFERROR(('Data Sheet'!E90*HistoricalFS!F42)/HistoricalFS!F6,0)</f>
        <v>0.37860006414368191</v>
      </c>
      <c r="G60" s="48">
        <f>IFERROR(('Data Sheet'!F90*HistoricalFS!G42)/HistoricalFS!G6,0)</f>
        <v>3.1145554166425335</v>
      </c>
      <c r="H60" s="48">
        <f>IFERROR(('Data Sheet'!G90*HistoricalFS!H42)/HistoricalFS!H6,0)</f>
        <v>3.4659057150240757</v>
      </c>
      <c r="I60" s="48">
        <f>IFERROR(('Data Sheet'!H90*HistoricalFS!I42)/HistoricalFS!I6,0)</f>
        <v>1.6989094923533494</v>
      </c>
      <c r="J60" s="48">
        <f>IFERROR(('Data Sheet'!I90*HistoricalFS!J42)/HistoricalFS!J6,0)</f>
        <v>4.1043895965380148</v>
      </c>
      <c r="K60" s="48">
        <f>IFERROR(('Data Sheet'!J90*HistoricalFS!K42)/HistoricalFS!K6,0)</f>
        <v>2.9646937665196553</v>
      </c>
      <c r="L60" s="48">
        <f>IFERROR(('Data Sheet'!K90*HistoricalFS!L42)/HistoricalFS!L6,0)</f>
        <v>2.2610704776347554</v>
      </c>
      <c r="M60" s="38"/>
      <c r="N60" s="48">
        <f t="shared" si="20"/>
        <v>1.9006621700594244</v>
      </c>
      <c r="O60" s="48">
        <f t="shared" si="21"/>
        <v>1.9799899849940523</v>
      </c>
    </row>
    <row r="61" spans="1:15" x14ac:dyDescent="0.3">
      <c r="B61" s="46" t="s">
        <v>125</v>
      </c>
      <c r="D61" s="48">
        <f>IFERROR(D59/(D9*100),0)</f>
        <v>-0.6212388140636006</v>
      </c>
      <c r="E61" s="48">
        <f>IFERROR(E59/(E9*100),0)</f>
        <v>-3.4525458335423815</v>
      </c>
      <c r="F61" s="48">
        <f>IFERROR(F59/(F9*100),0)</f>
        <v>0.13371737925898666</v>
      </c>
      <c r="G61" s="48">
        <f>IFERROR(G59/(G9*100),0)</f>
        <v>-25.477482360505441</v>
      </c>
      <c r="H61" s="48">
        <f>IFERROR(H59/(H9*100),0)</f>
        <v>-13.941407893536882</v>
      </c>
      <c r="I61" s="48">
        <f>IFERROR(I59/(I9*100),0)</f>
        <v>0.28162850622340374</v>
      </c>
      <c r="J61" s="48">
        <f>IFERROR(J59/(J9*100),0)</f>
        <v>2.4439457007421432</v>
      </c>
      <c r="K61" s="48">
        <f>IFERROR(K59/(K9*100),0)</f>
        <v>0.31028276656684112</v>
      </c>
      <c r="L61" s="48">
        <f>IFERROR(L59/(L9*100),0)</f>
        <v>0.7969935512302464</v>
      </c>
      <c r="M61" s="38"/>
      <c r="N61" s="48">
        <f t="shared" si="20"/>
        <v>-4.391789666402965</v>
      </c>
      <c r="O61" s="48">
        <f t="shared" si="21"/>
        <v>0.13371737925898666</v>
      </c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2519207-0E6A-4200-A13A-12EA85E8DB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Analysis'!C42:L42</xm:f>
              <xm:sqref>M42</xm:sqref>
            </x14:sparkline>
            <x14:sparkline>
              <xm:f>'Ratio Analysis'!C43:L43</xm:f>
              <xm:sqref>M43</xm:sqref>
            </x14:sparkline>
            <x14:sparkline>
              <xm:f>'Ratio Analysis'!C44:L44</xm:f>
              <xm:sqref>M44</xm:sqref>
            </x14:sparkline>
            <x14:sparkline>
              <xm:f>'Ratio Analysis'!C45:L45</xm:f>
              <xm:sqref>M45</xm:sqref>
            </x14:sparkline>
            <x14:sparkline>
              <xm:f>'Ratio Analysis'!C46:L46</xm:f>
              <xm:sqref>M46</xm:sqref>
            </x14:sparkline>
            <x14:sparkline>
              <xm:f>'Ratio Analysis'!C48:L48</xm:f>
              <xm:sqref>M48</xm:sqref>
            </x14:sparkline>
            <x14:sparkline>
              <xm:f>'Ratio Analysis'!C49:L49</xm:f>
              <xm:sqref>M49</xm:sqref>
            </x14:sparkline>
            <x14:sparkline>
              <xm:f>'Ratio Analysis'!C50:L50</xm:f>
              <xm:sqref>M50</xm:sqref>
            </x14:sparkline>
            <x14:sparkline>
              <xm:f>'Ratio Analysis'!C51:L51</xm:f>
              <xm:sqref>M51</xm:sqref>
            </x14:sparkline>
            <x14:sparkline>
              <xm:f>'Ratio Analysis'!C53:L53</xm:f>
              <xm:sqref>M53</xm:sqref>
            </x14:sparkline>
            <x14:sparkline>
              <xm:f>'Ratio Analysis'!C54:L54</xm:f>
              <xm:sqref>M54</xm:sqref>
            </x14:sparkline>
            <x14:sparkline>
              <xm:f>'Ratio Analysis'!C55:L55</xm:f>
              <xm:sqref>M55</xm:sqref>
            </x14:sparkline>
            <x14:sparkline>
              <xm:f>'Ratio Analysis'!C56:L56</xm:f>
              <xm:sqref>M56</xm:sqref>
            </x14:sparkline>
            <x14:sparkline>
              <xm:f>'Ratio Analysis'!C57:L57</xm:f>
              <xm:sqref>M57</xm:sqref>
            </x14:sparkline>
            <x14:sparkline>
              <xm:f>'Ratio Analysis'!C59:L59</xm:f>
              <xm:sqref>M59</xm:sqref>
            </x14:sparkline>
            <x14:sparkline>
              <xm:f>'Ratio Analysis'!C60:L60</xm:f>
              <xm:sqref>M60</xm:sqref>
            </x14:sparkline>
            <x14:sparkline>
              <xm:f>'Ratio Analysis'!C61:L61</xm:f>
              <xm:sqref>M61</xm:sqref>
            </x14:sparkline>
          </x14:sparklines>
        </x14:sparklineGroup>
        <x14:sparklineGroup displayEmptyCellsAs="gap" xr2:uid="{E68C5D1A-DA12-4B89-8CE2-486ECA7C4FA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displayEmptyCellsAs="gap" xr2:uid="{E615FF70-00CE-42CC-82AA-B9BD2CE923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Analysis'!D8:L8</xm:f>
              <xm:sqref>M8</xm:sqref>
            </x14:sparkline>
            <x14:sparkline>
              <xm:f>'Ratio Analysis'!D7:L7</xm:f>
              <xm:sqref>M7</xm:sqref>
            </x14:sparkline>
            <x14:sparkline>
              <xm:f>'Ratio Analysis'!D6:L6</xm:f>
              <xm:sqref>M6</xm:sqref>
            </x14:sparkline>
            <x14:sparkline>
              <xm:f>'Ratio Analysis'!D5:L5</xm:f>
              <xm:sqref>M5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</x14:sparklines>
        </x14:sparklineGroup>
        <x14:sparklineGroup displayEmptyCellsAs="gap" negative="1" xr2:uid="{09438E9A-47F1-4069-ADBC-850324FC15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003C-FAF8-43E4-B6C6-F8840036A81D}">
  <sheetPr>
    <tabColor rgb="FFD9E1F2"/>
  </sheetPr>
  <dimension ref="A2:L43"/>
  <sheetViews>
    <sheetView showGridLines="0" tabSelected="1" topLeftCell="A21" workbookViewId="0">
      <selection activeCell="B31" sqref="B31"/>
    </sheetView>
  </sheetViews>
  <sheetFormatPr defaultRowHeight="14.4" x14ac:dyDescent="0.3"/>
  <cols>
    <col min="1" max="1" width="4.33203125" customWidth="1"/>
    <col min="2" max="2" width="70.21875" bestFit="1" customWidth="1"/>
    <col min="3" max="12" width="10.77734375" customWidth="1"/>
  </cols>
  <sheetData>
    <row r="2" spans="1:12" x14ac:dyDescent="0.3">
      <c r="A2" s="66"/>
      <c r="B2" s="64" t="s">
        <v>138</v>
      </c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x14ac:dyDescent="0.3">
      <c r="A3" s="66"/>
      <c r="B3" s="66" t="s">
        <v>53</v>
      </c>
      <c r="C3" s="66">
        <v>42825</v>
      </c>
      <c r="D3" s="66">
        <v>43190</v>
      </c>
      <c r="E3" s="66">
        <v>43555</v>
      </c>
      <c r="F3" s="66">
        <v>43921</v>
      </c>
      <c r="G3" s="66">
        <v>44286</v>
      </c>
      <c r="H3" s="66">
        <v>44651</v>
      </c>
      <c r="I3" s="66">
        <v>45016</v>
      </c>
      <c r="J3" s="66">
        <v>45382</v>
      </c>
      <c r="K3" s="66">
        <v>45747</v>
      </c>
      <c r="L3" s="66">
        <v>46112</v>
      </c>
    </row>
    <row r="4" spans="1:12" x14ac:dyDescent="0.3">
      <c r="A4" s="62" t="s">
        <v>54</v>
      </c>
      <c r="B4" s="63" t="s">
        <v>139</v>
      </c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x14ac:dyDescent="0.3">
      <c r="A5" s="65"/>
      <c r="B5" s="70" t="s">
        <v>11</v>
      </c>
      <c r="C5" s="71">
        <f>IFERROR(HistoricalFS!C6/HistoricalFS!C6,0)</f>
        <v>1</v>
      </c>
      <c r="D5" s="71">
        <f>IFERROR(HistoricalFS!D6/HistoricalFS!D6,0)</f>
        <v>1</v>
      </c>
      <c r="E5" s="71">
        <f>IFERROR(HistoricalFS!E6/HistoricalFS!E6,0)</f>
        <v>1</v>
      </c>
      <c r="F5" s="71">
        <f>IFERROR(HistoricalFS!F6/HistoricalFS!F6,0)</f>
        <v>1</v>
      </c>
      <c r="G5" s="71">
        <f>IFERROR(HistoricalFS!G6/HistoricalFS!G6,0)</f>
        <v>1</v>
      </c>
      <c r="H5" s="71">
        <f>IFERROR(HistoricalFS!H6/HistoricalFS!H6,0)</f>
        <v>1</v>
      </c>
      <c r="I5" s="71">
        <f>IFERROR(HistoricalFS!I6/HistoricalFS!I6,0)</f>
        <v>1</v>
      </c>
      <c r="J5" s="71">
        <f>IFERROR(HistoricalFS!J6/HistoricalFS!J6,0)</f>
        <v>1</v>
      </c>
      <c r="K5" s="71">
        <f>IFERROR(HistoricalFS!K6/HistoricalFS!K6,0)</f>
        <v>1</v>
      </c>
      <c r="L5" s="71">
        <f>IFERROR(HistoricalFS!L6/HistoricalFS!L6,0)</f>
        <v>1</v>
      </c>
    </row>
    <row r="6" spans="1:12" x14ac:dyDescent="0.3">
      <c r="A6" s="65"/>
      <c r="B6" s="68" t="s">
        <v>56</v>
      </c>
      <c r="C6" s="69">
        <v>0.91454131978717201</v>
      </c>
      <c r="D6" s="69">
        <v>0.91234781727606595</v>
      </c>
      <c r="E6" s="69">
        <v>0.90482472672446301</v>
      </c>
      <c r="F6" s="69">
        <v>0.88637813069090798</v>
      </c>
      <c r="G6" s="69">
        <v>0.89661186838801898</v>
      </c>
      <c r="H6" s="69">
        <v>0.90394680624567703</v>
      </c>
      <c r="I6" s="69">
        <v>0.86061353541451902</v>
      </c>
      <c r="J6" s="69">
        <v>0.78347772445374397</v>
      </c>
      <c r="K6" s="69">
        <v>0.750735866836577</v>
      </c>
      <c r="L6" s="69">
        <v>0.75170941451265205</v>
      </c>
    </row>
    <row r="7" spans="1:12" x14ac:dyDescent="0.3">
      <c r="A7" s="65"/>
      <c r="B7" s="70" t="s">
        <v>140</v>
      </c>
      <c r="C7" s="71">
        <v>8.5458680212827695E-2</v>
      </c>
      <c r="D7" s="71">
        <v>8.7652182723934297E-2</v>
      </c>
      <c r="E7" s="71">
        <v>9.5175273275537195E-2</v>
      </c>
      <c r="F7" s="71">
        <v>0.113621869309092</v>
      </c>
      <c r="G7" s="71">
        <v>0.103388131611981</v>
      </c>
      <c r="H7" s="71">
        <v>9.6053193754323196E-2</v>
      </c>
      <c r="I7" s="71">
        <v>0.13938646458548101</v>
      </c>
      <c r="J7" s="71">
        <v>0.216522275546256</v>
      </c>
      <c r="K7" s="71">
        <v>0.249264133163423</v>
      </c>
      <c r="L7" s="71">
        <v>0.248290585487348</v>
      </c>
    </row>
    <row r="8" spans="1:12" x14ac:dyDescent="0.3">
      <c r="A8" s="65"/>
      <c r="B8" s="68" t="s">
        <v>59</v>
      </c>
      <c r="C8" s="69">
        <v>3.33896661799815E-2</v>
      </c>
      <c r="D8" s="69">
        <v>3.0929252709615201E-2</v>
      </c>
      <c r="E8" s="69">
        <v>4.6403471536697903E-2</v>
      </c>
      <c r="F8" s="69">
        <v>6.0758858463648202E-2</v>
      </c>
      <c r="G8" s="69">
        <v>4.0013526525572302E-2</v>
      </c>
      <c r="H8" s="69">
        <v>4.2558662337089902E-2</v>
      </c>
      <c r="I8" s="69">
        <v>7.0249530537598207E-2</v>
      </c>
      <c r="J8" s="69">
        <v>9.8533431209680694E-2</v>
      </c>
      <c r="K8" s="69">
        <v>0.10367890004315899</v>
      </c>
      <c r="L8" s="69">
        <v>0.10903534944894699</v>
      </c>
    </row>
    <row r="9" spans="1:12" x14ac:dyDescent="0.3">
      <c r="A9" s="65"/>
      <c r="B9" s="70" t="s">
        <v>109</v>
      </c>
      <c r="C9" s="71">
        <v>5.2069014032846098E-2</v>
      </c>
      <c r="D9" s="71">
        <v>5.6722930014319099E-2</v>
      </c>
      <c r="E9" s="71">
        <v>4.8771801738839403E-2</v>
      </c>
      <c r="F9" s="71">
        <v>5.2863010845443301E-2</v>
      </c>
      <c r="G9" s="71">
        <v>6.3374605086408603E-2</v>
      </c>
      <c r="H9" s="71">
        <v>5.3494531417233301E-2</v>
      </c>
      <c r="I9" s="71">
        <v>6.9136934047883195E-2</v>
      </c>
      <c r="J9" s="71">
        <v>0.117988844336575</v>
      </c>
      <c r="K9" s="71">
        <v>0.145585233120264</v>
      </c>
      <c r="L9" s="71">
        <v>0.13925523603840001</v>
      </c>
    </row>
    <row r="10" spans="1:12" x14ac:dyDescent="0.3">
      <c r="A10" s="65"/>
      <c r="B10" s="68" t="s">
        <v>20</v>
      </c>
      <c r="C10" s="69">
        <v>8.6349658909814307E-3</v>
      </c>
      <c r="D10" s="69">
        <v>1.84812793258642E-2</v>
      </c>
      <c r="E10" s="69">
        <v>9.65287109577187E-3</v>
      </c>
      <c r="F10" s="69">
        <v>1.0876316973007999E-2</v>
      </c>
      <c r="G10" s="69">
        <v>1.35857104448401E-2</v>
      </c>
      <c r="H10" s="69">
        <v>1.79743123685361E-2</v>
      </c>
      <c r="I10" s="69">
        <v>1.91010628079928E-2</v>
      </c>
      <c r="J10" s="69">
        <v>3.1550706080772102E-2</v>
      </c>
      <c r="K10" s="69">
        <v>4.30189565834736E-2</v>
      </c>
      <c r="L10" s="69">
        <v>6.1067232840187599E-2</v>
      </c>
    </row>
    <row r="11" spans="1:12" x14ac:dyDescent="0.3">
      <c r="A11" s="65"/>
      <c r="B11" s="70" t="s">
        <v>141</v>
      </c>
      <c r="C11" s="71">
        <v>4.3434048141864703E-2</v>
      </c>
      <c r="D11" s="71">
        <v>3.8241650688454899E-2</v>
      </c>
      <c r="E11" s="71">
        <v>3.9118930643067498E-2</v>
      </c>
      <c r="F11" s="71">
        <v>4.1986693872435303E-2</v>
      </c>
      <c r="G11" s="71">
        <v>4.97888946415685E-2</v>
      </c>
      <c r="H11" s="71">
        <v>3.5520219048697198E-2</v>
      </c>
      <c r="I11" s="71">
        <v>5.0035871239890402E-2</v>
      </c>
      <c r="J11" s="71">
        <v>8.6438138255802904E-2</v>
      </c>
      <c r="K11" s="71">
        <v>0.102566276536791</v>
      </c>
      <c r="L11" s="71">
        <v>7.8188003198212702E-2</v>
      </c>
    </row>
    <row r="12" spans="1:12" x14ac:dyDescent="0.3">
      <c r="A12" s="65"/>
      <c r="B12" s="68" t="s">
        <v>19</v>
      </c>
      <c r="C12" s="69">
        <v>2.05133132199341E-2</v>
      </c>
      <c r="D12" s="69">
        <v>1.01105335943294E-2</v>
      </c>
      <c r="E12" s="69">
        <v>1.24872890779436E-2</v>
      </c>
      <c r="F12" s="69">
        <v>2.0098353645499299E-2</v>
      </c>
      <c r="G12" s="69">
        <v>1.25024249357503E-2</v>
      </c>
      <c r="H12" s="69">
        <v>1.4579478186314099E-2</v>
      </c>
      <c r="I12" s="69">
        <v>6.5409539789633804E-3</v>
      </c>
      <c r="J12" s="69">
        <v>1.18894248948725E-2</v>
      </c>
      <c r="K12" s="69">
        <v>6.5408001961290096E-2</v>
      </c>
      <c r="L12" s="69">
        <v>0.116338227432429</v>
      </c>
    </row>
    <row r="13" spans="1:12" x14ac:dyDescent="0.3">
      <c r="A13" s="65"/>
      <c r="B13" s="68" t="s">
        <v>21</v>
      </c>
      <c r="C13" s="69">
        <v>3.4415865607017898E-2</v>
      </c>
      <c r="D13" s="69">
        <v>3.4800489478876498E-2</v>
      </c>
      <c r="E13" s="69">
        <v>4.0245763480016399E-2</v>
      </c>
      <c r="F13" s="69">
        <v>3.6226434569758097E-2</v>
      </c>
      <c r="G13" s="69">
        <v>3.4824227251699903E-2</v>
      </c>
      <c r="H13" s="69">
        <v>3.63853853447225E-2</v>
      </c>
      <c r="I13" s="69">
        <v>3.1118986666875799E-2</v>
      </c>
      <c r="J13" s="69">
        <v>4.7237644753247703E-2</v>
      </c>
      <c r="K13" s="69">
        <v>6.1065787491157597E-2</v>
      </c>
      <c r="L13" s="69">
        <v>5.9910453623276003E-2</v>
      </c>
    </row>
    <row r="14" spans="1:12" x14ac:dyDescent="0.3">
      <c r="A14" s="65"/>
      <c r="B14" s="70" t="s">
        <v>66</v>
      </c>
      <c r="C14" s="71">
        <v>2.9531495754780802E-2</v>
      </c>
      <c r="D14" s="71">
        <v>1.35516948039077E-2</v>
      </c>
      <c r="E14" s="71">
        <v>1.13604562409947E-2</v>
      </c>
      <c r="F14" s="71">
        <v>2.5858612948176402E-2</v>
      </c>
      <c r="G14" s="71">
        <v>2.7467092325618898E-2</v>
      </c>
      <c r="H14" s="71">
        <v>1.3714311890288799E-2</v>
      </c>
      <c r="I14" s="71">
        <v>2.5457838551978001E-2</v>
      </c>
      <c r="J14" s="71">
        <v>5.10899183974277E-2</v>
      </c>
      <c r="K14" s="71">
        <v>0.106908491006923</v>
      </c>
      <c r="L14" s="71">
        <v>0.13461577700736599</v>
      </c>
    </row>
    <row r="15" spans="1:12" x14ac:dyDescent="0.3">
      <c r="A15" s="65"/>
      <c r="B15" s="68" t="s">
        <v>23</v>
      </c>
      <c r="C15" s="69">
        <v>7.4220852131478303E-3</v>
      </c>
      <c r="D15" s="69">
        <v>3.12076187676623E-3</v>
      </c>
      <c r="E15" s="69">
        <v>3.5796135879694901E-3</v>
      </c>
      <c r="F15" s="69">
        <v>7.4726006945212498E-3</v>
      </c>
      <c r="G15" s="69">
        <v>8.5906589577948601E-3</v>
      </c>
      <c r="H15" s="69">
        <v>6.8665912419126601E-3</v>
      </c>
      <c r="I15" s="69">
        <v>8.1381846408367601E-3</v>
      </c>
      <c r="J15" s="69">
        <v>1.6920695060348899E-2</v>
      </c>
      <c r="K15" s="69">
        <v>3.03235873220985E-2</v>
      </c>
      <c r="L15" s="69">
        <v>3.8132805858466602E-2</v>
      </c>
    </row>
    <row r="16" spans="1:12" x14ac:dyDescent="0.3">
      <c r="A16" s="65"/>
      <c r="B16" s="70" t="s">
        <v>69</v>
      </c>
      <c r="C16" s="71">
        <v>2.2109410541632998E-2</v>
      </c>
      <c r="D16" s="71">
        <v>1.0430932927141499E-2</v>
      </c>
      <c r="E16" s="71">
        <v>7.7808426530252099E-3</v>
      </c>
      <c r="F16" s="71">
        <v>1.8386012253655201E-2</v>
      </c>
      <c r="G16" s="71">
        <v>1.8876433367824099E-2</v>
      </c>
      <c r="H16" s="71">
        <v>6.8477206483761903E-3</v>
      </c>
      <c r="I16" s="71">
        <v>1.7319653911141202E-2</v>
      </c>
      <c r="J16" s="71">
        <v>3.4169223337078801E-2</v>
      </c>
      <c r="K16" s="71">
        <v>7.6584903684824901E-2</v>
      </c>
      <c r="L16" s="71">
        <v>9.6482971148899102E-2</v>
      </c>
    </row>
    <row r="18" spans="1:12" x14ac:dyDescent="0.3">
      <c r="A18" s="62" t="s">
        <v>54</v>
      </c>
      <c r="B18" s="63" t="s">
        <v>142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1:12" x14ac:dyDescent="0.3">
      <c r="A19" s="65"/>
      <c r="B19" s="68" t="s">
        <v>30</v>
      </c>
      <c r="C19" s="69">
        <f>IFERROR(HistoricalFS!C53/HistoricalFS!C57,0)</f>
        <v>2.309947581958717E-3</v>
      </c>
      <c r="D19" s="69">
        <f>IFERROR(HistoricalFS!D53/HistoricalFS!D57,0)</f>
        <v>1.9498153898194748E-3</v>
      </c>
      <c r="E19" s="69">
        <f>IFERROR(HistoricalFS!E53/HistoricalFS!E57,0)</f>
        <v>2.585563630772674E-3</v>
      </c>
      <c r="F19" s="69">
        <f>IFERROR(HistoricalFS!F53/HistoricalFS!F57,0)</f>
        <v>2.3462369968166442E-3</v>
      </c>
      <c r="G19" s="69">
        <f>IFERROR(HistoricalFS!G53/HistoricalFS!G57,0)</f>
        <v>2.1307049343701032E-3</v>
      </c>
      <c r="H19" s="69">
        <f>IFERROR(HistoricalFS!H53/HistoricalFS!H57,0)</f>
        <v>1.0826256595865824E-3</v>
      </c>
      <c r="I19" s="69">
        <f>IFERROR(HistoricalFS!I53/HistoricalFS!I57,0)</f>
        <v>8.0691694871009364E-4</v>
      </c>
      <c r="J19" s="69">
        <f>IFERROR(HistoricalFS!J53/HistoricalFS!J57,0)</f>
        <v>7.0989893031931013E-4</v>
      </c>
      <c r="K19" s="69">
        <f>IFERROR(HistoricalFS!K53/HistoricalFS!K57,0)</f>
        <v>5.8339223529297593E-4</v>
      </c>
      <c r="L19" s="69">
        <f>IFERROR(HistoricalFS!L53/HistoricalFS!L57,0)</f>
        <v>4.9542225086842643E-4</v>
      </c>
    </row>
    <row r="20" spans="1:12" x14ac:dyDescent="0.3">
      <c r="A20" s="65"/>
      <c r="B20" s="68" t="s">
        <v>31</v>
      </c>
      <c r="C20" s="69">
        <f>IFERROR(HistoricalFS!C54/HistoricalFS!C57,0)</f>
        <v>0.29459266853134336</v>
      </c>
      <c r="D20" s="69">
        <f>IFERROR(HistoricalFS!D54/HistoricalFS!D57,0)</f>
        <v>0.26556333141507527</v>
      </c>
      <c r="E20" s="69">
        <f>IFERROR(HistoricalFS!E54/HistoricalFS!E57,0)</f>
        <v>0.3443177078900832</v>
      </c>
      <c r="F20" s="69">
        <f>IFERROR(HistoricalFS!F54/HistoricalFS!F57,0)</f>
        <v>0.35918012691610424</v>
      </c>
      <c r="G20" s="69">
        <f>IFERROR(HistoricalFS!G54/HistoricalFS!G57,0)</f>
        <v>0.33029200615614474</v>
      </c>
      <c r="H20" s="69">
        <f>IFERROR(HistoricalFS!H54/HistoricalFS!H57,0)</f>
        <v>0.21800692533918925</v>
      </c>
      <c r="I20" s="69">
        <f>IFERROR(HistoricalFS!I54/HistoricalFS!I57,0)</f>
        <v>0.23313536498977055</v>
      </c>
      <c r="J20" s="69">
        <f>IFERROR(HistoricalFS!J54/HistoricalFS!J57,0)</f>
        <v>0.24262408784214637</v>
      </c>
      <c r="K20" s="69">
        <f>IFERROR(HistoricalFS!K54/HistoricalFS!K57,0)</f>
        <v>0.25372937353115765</v>
      </c>
      <c r="L20" s="69">
        <f>IFERROR(HistoricalFS!L54/HistoricalFS!L57,0)</f>
        <v>0.30972212883753869</v>
      </c>
    </row>
    <row r="21" spans="1:12" x14ac:dyDescent="0.3">
      <c r="A21" s="65"/>
      <c r="B21" s="68" t="s">
        <v>32</v>
      </c>
      <c r="C21" s="69">
        <f>IFERROR(HistoricalFS!C55/HistoricalFS!C57,0)</f>
        <v>0.43782979185477788</v>
      </c>
      <c r="D21" s="69">
        <f>IFERROR(HistoricalFS!D55/HistoricalFS!D57,0)</f>
        <v>0.3126776649161232</v>
      </c>
      <c r="E21" s="69">
        <f>IFERROR(HistoricalFS!E55/HistoricalFS!E57,0)</f>
        <v>0.26432086755322176</v>
      </c>
      <c r="F21" s="69">
        <f>IFERROR(HistoricalFS!F55/HistoricalFS!F57,0)</f>
        <v>0.26494472753741544</v>
      </c>
      <c r="G21" s="69">
        <f>IFERROR(HistoricalFS!G55/HistoricalFS!G57,0)</f>
        <v>0.31437603939188696</v>
      </c>
      <c r="H21" s="69">
        <f>IFERROR(HistoricalFS!H55/HistoricalFS!H57,0)</f>
        <v>0.40954346626850302</v>
      </c>
      <c r="I21" s="69">
        <f>IFERROR(HistoricalFS!I55/HistoricalFS!I57,0)</f>
        <v>0.37656449871204728</v>
      </c>
      <c r="J21" s="69">
        <f>IFERROR(HistoricalFS!J55/HistoricalFS!J57,0)</f>
        <v>0.40669829494731308</v>
      </c>
      <c r="K21" s="69">
        <f>IFERROR(HistoricalFS!K55/HistoricalFS!K57,0)</f>
        <v>0.46234971913065565</v>
      </c>
      <c r="L21" s="69">
        <f>IFERROR(HistoricalFS!L55/HistoricalFS!L57,0)</f>
        <v>0.40871871861204484</v>
      </c>
    </row>
    <row r="22" spans="1:12" x14ac:dyDescent="0.3">
      <c r="A22" s="65"/>
      <c r="B22" s="68" t="s">
        <v>33</v>
      </c>
      <c r="C22" s="69">
        <f>IFERROR(HistoricalFS!C56/HistoricalFS!C57,0)</f>
        <v>0.26526759203192007</v>
      </c>
      <c r="D22" s="69">
        <f>IFERROR(HistoricalFS!D56/HistoricalFS!D57,0)</f>
        <v>0.41980918827898211</v>
      </c>
      <c r="E22" s="69">
        <f>IFERROR(HistoricalFS!E56/HistoricalFS!E57,0)</f>
        <v>0.38877586092592237</v>
      </c>
      <c r="F22" s="69">
        <f>IFERROR(HistoricalFS!F56/HistoricalFS!F57,0)</f>
        <v>0.3735289085496637</v>
      </c>
      <c r="G22" s="69">
        <f>IFERROR(HistoricalFS!G56/HistoricalFS!G57,0)</f>
        <v>0.35320124951759818</v>
      </c>
      <c r="H22" s="69">
        <f>IFERROR(HistoricalFS!H56/HistoricalFS!H57,0)</f>
        <v>0.37136698273272123</v>
      </c>
      <c r="I22" s="69">
        <f>IFERROR(HistoricalFS!I56/HistoricalFS!I57,0)</f>
        <v>0.38949321934947201</v>
      </c>
      <c r="J22" s="69">
        <f>IFERROR(HistoricalFS!J56/HistoricalFS!J57,0)</f>
        <v>0.34996771828022127</v>
      </c>
      <c r="K22" s="69">
        <f>IFERROR(HistoricalFS!K56/HistoricalFS!K57,0)</f>
        <v>0.28333751510289373</v>
      </c>
      <c r="L22" s="69">
        <f>IFERROR(HistoricalFS!L56/HistoricalFS!L57,0)</f>
        <v>0.28106373029954801</v>
      </c>
    </row>
    <row r="23" spans="1:12" x14ac:dyDescent="0.3">
      <c r="A23" s="65"/>
      <c r="B23" s="70" t="s">
        <v>143</v>
      </c>
      <c r="C23" s="71">
        <f>IFERROR(HistoricalFS!C57/HistoricalFS!C57,0)</f>
        <v>1</v>
      </c>
      <c r="D23" s="71">
        <f>IFERROR(HistoricalFS!D57/HistoricalFS!D57,0)</f>
        <v>1</v>
      </c>
      <c r="E23" s="71">
        <f>IFERROR(HistoricalFS!E57/HistoricalFS!E57,0)</f>
        <v>1</v>
      </c>
      <c r="F23" s="71">
        <f>IFERROR(HistoricalFS!F57/HistoricalFS!F57,0)</f>
        <v>1</v>
      </c>
      <c r="G23" s="71">
        <f>IFERROR(HistoricalFS!G57/HistoricalFS!G57,0)</f>
        <v>1</v>
      </c>
      <c r="H23" s="71">
        <f>IFERROR(HistoricalFS!H57/HistoricalFS!H57,0)</f>
        <v>1</v>
      </c>
      <c r="I23" s="71">
        <f>IFERROR(HistoricalFS!I57/HistoricalFS!I57,0)</f>
        <v>1</v>
      </c>
      <c r="J23" s="71">
        <f>IFERROR(HistoricalFS!J57/HistoricalFS!J57,0)</f>
        <v>1</v>
      </c>
      <c r="K23" s="71">
        <f>IFERROR(HistoricalFS!K57/HistoricalFS!K57,0)</f>
        <v>1</v>
      </c>
      <c r="L23" s="71">
        <f>IFERROR(HistoricalFS!L57/HistoricalFS!L57,0)</f>
        <v>1</v>
      </c>
    </row>
    <row r="25" spans="1:12" x14ac:dyDescent="0.3">
      <c r="A25" s="62" t="s">
        <v>54</v>
      </c>
      <c r="B25" s="63" t="s">
        <v>144</v>
      </c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1:12" x14ac:dyDescent="0.3">
      <c r="A26" s="65"/>
      <c r="B26" s="68" t="s">
        <v>35</v>
      </c>
      <c r="C26" s="69">
        <f>IFERROR(HistoricalFS!C59/HistoricalFS!C70,0)</f>
        <v>0.28707326196817701</v>
      </c>
      <c r="D26" s="69">
        <f>IFERROR(HistoricalFS!D59/HistoricalFS!D70,0)</f>
        <v>0.18713104113901274</v>
      </c>
      <c r="E26" s="69">
        <f>IFERROR(HistoricalFS!E59/HistoricalFS!E70,0)</f>
        <v>0.21205735917047561</v>
      </c>
      <c r="F26" s="69">
        <f>IFERROR(HistoricalFS!F59/HistoricalFS!F70,0)</f>
        <v>0.22349752725649843</v>
      </c>
      <c r="G26" s="69">
        <f>IFERROR(HistoricalFS!G59/HistoricalFS!G70,0)</f>
        <v>0.2099631669738023</v>
      </c>
      <c r="H26" s="69">
        <f>IFERROR(HistoricalFS!H59/HistoricalFS!H70,0)</f>
        <v>0.29652376559215232</v>
      </c>
      <c r="I26" s="69">
        <f>IFERROR(HistoricalFS!I59/HistoricalFS!I70,0)</f>
        <v>0.40261708648054534</v>
      </c>
      <c r="J26" s="69">
        <f>IFERROR(HistoricalFS!J59/HistoricalFS!J70,0)</f>
        <v>0.41085898766918016</v>
      </c>
      <c r="K26" s="69">
        <f>IFERROR(HistoricalFS!K59/HistoricalFS!K70,0)</f>
        <v>0.39051261283701488</v>
      </c>
      <c r="L26" s="69">
        <f>IFERROR(HistoricalFS!L59/HistoricalFS!L70,0)</f>
        <v>0.44150161088898549</v>
      </c>
    </row>
    <row r="27" spans="1:12" x14ac:dyDescent="0.3">
      <c r="A27" s="65"/>
      <c r="B27" s="68" t="s">
        <v>36</v>
      </c>
      <c r="C27" s="69">
        <f>IFERROR(HistoricalFS!C60/HistoricalFS!C70,0)</f>
        <v>0.16238713066410257</v>
      </c>
      <c r="D27" s="69">
        <f>IFERROR(HistoricalFS!D60/HistoricalFS!D70,0)</f>
        <v>9.7967142827257145E-2</v>
      </c>
      <c r="E27" s="69">
        <f>IFERROR(HistoricalFS!E60/HistoricalFS!E70,0)</f>
        <v>0.1355298007484452</v>
      </c>
      <c r="F27" s="69">
        <f>IFERROR(HistoricalFS!F60/HistoricalFS!F70,0)</f>
        <v>0.15673003938554958</v>
      </c>
      <c r="G27" s="69">
        <f>IFERROR(HistoricalFS!G60/HistoricalFS!G70,0)</f>
        <v>0.17098064348141453</v>
      </c>
      <c r="H27" s="69">
        <f>IFERROR(HistoricalFS!H60/HistoricalFS!H70,0)</f>
        <v>0.23176753257031749</v>
      </c>
      <c r="I27" s="69">
        <f>IFERROR(HistoricalFS!I60/HistoricalFS!I70,0)</f>
        <v>0.17005569425718622</v>
      </c>
      <c r="J27" s="69">
        <f>IFERROR(HistoricalFS!J60/HistoricalFS!J70,0)</f>
        <v>0.21906920543129973</v>
      </c>
      <c r="K27" s="69">
        <f>IFERROR(HistoricalFS!K60/HistoricalFS!K70,0)</f>
        <v>0.26038748526103134</v>
      </c>
      <c r="L27" s="69">
        <f>IFERROR(HistoricalFS!L60/HistoricalFS!L70,0)</f>
        <v>0.19838901134740825</v>
      </c>
    </row>
    <row r="28" spans="1:12" x14ac:dyDescent="0.3">
      <c r="A28" s="65"/>
      <c r="B28" s="68" t="s">
        <v>37</v>
      </c>
      <c r="C28" s="69">
        <f>IFERROR(HistoricalFS!C61/HistoricalFS!C70,0)</f>
        <v>2.1880231801286537E-2</v>
      </c>
      <c r="D28" s="69">
        <f>IFERROR(HistoricalFS!D61/HistoricalFS!D70,0)</f>
        <v>2.5896838845400099E-2</v>
      </c>
      <c r="E28" s="69">
        <f>IFERROR(HistoricalFS!E61/HistoricalFS!E70,0)</f>
        <v>3.5530929199566109E-2</v>
      </c>
      <c r="F28" s="69">
        <f>IFERROR(HistoricalFS!F61/HistoricalFS!F70,0)</f>
        <v>4.1653066684074647E-2</v>
      </c>
      <c r="G28" s="69">
        <f>IFERROR(HistoricalFS!G61/HistoricalFS!G70,0)</f>
        <v>0.10661157857376447</v>
      </c>
      <c r="H28" s="69">
        <f>IFERROR(HistoricalFS!H61/HistoricalFS!H70,0)</f>
        <v>4.2251833809184618E-2</v>
      </c>
      <c r="I28" s="69">
        <f>IFERROR(HistoricalFS!I61/HistoricalFS!I70,0)</f>
        <v>4.4664764230192736E-2</v>
      </c>
      <c r="J28" s="69">
        <f>IFERROR(HistoricalFS!J61/HistoricalFS!J70,0)</f>
        <v>5.4180794070525604E-2</v>
      </c>
      <c r="K28" s="69">
        <f>IFERROR(HistoricalFS!K61/HistoricalFS!K70,0)</f>
        <v>4.9972028308524423E-2</v>
      </c>
      <c r="L28" s="69">
        <f>IFERROR(HistoricalFS!L61/HistoricalFS!L70,0)</f>
        <v>3.6142249206285566E-2</v>
      </c>
    </row>
    <row r="29" spans="1:12" x14ac:dyDescent="0.3">
      <c r="A29" s="65"/>
      <c r="B29" s="68" t="s">
        <v>38</v>
      </c>
      <c r="C29" s="69">
        <f>IFERROR(HistoricalFS!C62/HistoricalFS!C70,0)</f>
        <v>0.19032199593921381</v>
      </c>
      <c r="D29" s="69">
        <f>IFERROR(HistoricalFS!D62/HistoricalFS!D70,0)</f>
        <v>0.3995717426754275</v>
      </c>
      <c r="E29" s="69">
        <f>IFERROR(HistoricalFS!E62/HistoricalFS!E70,0)</f>
        <v>0.17760574644925797</v>
      </c>
      <c r="F29" s="69">
        <f>IFERROR(HistoricalFS!F62/HistoricalFS!F70,0)</f>
        <v>0.17096084783678142</v>
      </c>
      <c r="G29" s="69">
        <f>IFERROR(HistoricalFS!G62/HistoricalFS!G70,0)</f>
        <v>0.21117575855265505</v>
      </c>
      <c r="H29" s="69">
        <f>IFERROR(HistoricalFS!H62/HistoricalFS!H70,0)</f>
        <v>0.18910639184236935</v>
      </c>
      <c r="I29" s="69">
        <f>IFERROR(HistoricalFS!I62/HistoricalFS!I70,0)</f>
        <v>0.20680679746837594</v>
      </c>
      <c r="J29" s="69">
        <f>IFERROR(HistoricalFS!J62/HistoricalFS!J70,0)</f>
        <v>0.15181549801527205</v>
      </c>
      <c r="K29" s="69">
        <f>IFERROR(HistoricalFS!K62/HistoricalFS!K70,0)</f>
        <v>0.16333162962447775</v>
      </c>
      <c r="L29" s="69">
        <f>IFERROR(HistoricalFS!L62/HistoricalFS!L70,0)</f>
        <v>0.15888384019558063</v>
      </c>
    </row>
    <row r="30" spans="1:12" x14ac:dyDescent="0.3">
      <c r="A30" s="65"/>
      <c r="B30" s="70" t="s">
        <v>145</v>
      </c>
      <c r="C30" s="71">
        <f>IFERROR(HistoricalFS!C63/HistoricalFS!C70,0)</f>
        <v>0.66166262037278001</v>
      </c>
      <c r="D30" s="71">
        <f>IFERROR(HistoricalFS!D63/HistoricalFS!D70,0)</f>
        <v>0.71056676548709741</v>
      </c>
      <c r="E30" s="71">
        <f>IFERROR(HistoricalFS!E63/HistoricalFS!E70,0)</f>
        <v>0.56072383556774485</v>
      </c>
      <c r="F30" s="71">
        <f>IFERROR(HistoricalFS!F63/HistoricalFS!F70,0)</f>
        <v>0.59284148116290414</v>
      </c>
      <c r="G30" s="71">
        <f>IFERROR(HistoricalFS!G63/HistoricalFS!G70,0)</f>
        <v>0.69873114758163635</v>
      </c>
      <c r="H30" s="71">
        <f>IFERROR(HistoricalFS!H63/HistoricalFS!H70,0)</f>
        <v>0.75964952381402384</v>
      </c>
      <c r="I30" s="71">
        <f>IFERROR(HistoricalFS!I63/HistoricalFS!I70,0)</f>
        <v>0.82414434243630019</v>
      </c>
      <c r="J30" s="71">
        <f>IFERROR(HistoricalFS!J63/HistoricalFS!J70,0)</f>
        <v>0.83592448518627749</v>
      </c>
      <c r="K30" s="71">
        <f>IFERROR(HistoricalFS!K63/HistoricalFS!K70,0)</f>
        <v>0.86420375603104849</v>
      </c>
      <c r="L30" s="71">
        <f>IFERROR(HistoricalFS!L63/HistoricalFS!L70,0)</f>
        <v>0.83491671163825987</v>
      </c>
    </row>
    <row r="31" spans="1:12" x14ac:dyDescent="0.3">
      <c r="A31" s="65"/>
      <c r="B31" s="68" t="s">
        <v>39</v>
      </c>
      <c r="C31" s="69">
        <f>IFERROR(HistoricalFS!C65/HistoricalFS!C70,0)</f>
        <v>0.26761933626497986</v>
      </c>
      <c r="D31" s="69">
        <f>IFERROR(HistoricalFS!D65/HistoricalFS!D70,0)</f>
        <v>0.21449688983348034</v>
      </c>
      <c r="E31" s="69">
        <f>IFERROR(HistoricalFS!E65/HistoricalFS!E70,0)</f>
        <v>0.33634966750657913</v>
      </c>
      <c r="F31" s="69">
        <f>IFERROR(HistoricalFS!F65/HistoricalFS!F70,0)</f>
        <v>0.28045894767921364</v>
      </c>
      <c r="G31" s="69">
        <f>IFERROR(HistoricalFS!G65/HistoricalFS!G70,0)</f>
        <v>0.23214667650327256</v>
      </c>
      <c r="H31" s="69">
        <f>IFERROR(HistoricalFS!H65/HistoricalFS!H70,0)</f>
        <v>0.13498062141413475</v>
      </c>
      <c r="I31" s="69">
        <f>IFERROR(HistoricalFS!I65/HistoricalFS!I70,0)</f>
        <v>8.8852031816876842E-2</v>
      </c>
      <c r="J31" s="69">
        <f>IFERROR(HistoricalFS!J65/HistoricalFS!J70,0)</f>
        <v>6.0982373085016507E-2</v>
      </c>
      <c r="K31" s="69">
        <f>IFERROR(HistoricalFS!K65/HistoricalFS!K70,0)</f>
        <v>4.8606601359624357E-2</v>
      </c>
      <c r="L31" s="69">
        <f>IFERROR(HistoricalFS!L65/HistoricalFS!L70,0)</f>
        <v>4.8080223444481859E-2</v>
      </c>
    </row>
    <row r="32" spans="1:12" x14ac:dyDescent="0.3">
      <c r="A32" s="65"/>
      <c r="B32" s="68" t="s">
        <v>40</v>
      </c>
      <c r="C32" s="69">
        <f>IFERROR(HistoricalFS!C66/HistoricalFS!C70,0)</f>
        <v>3.4695421082356834E-2</v>
      </c>
      <c r="D32" s="69">
        <f>IFERROR(HistoricalFS!D66/HistoricalFS!D70,0)</f>
        <v>4.1530819599704567E-2</v>
      </c>
      <c r="E32" s="69">
        <f>IFERROR(HistoricalFS!E66/HistoricalFS!E70,0)</f>
        <v>6.2742352510263028E-2</v>
      </c>
      <c r="F32" s="69">
        <f>IFERROR(HistoricalFS!F66/HistoricalFS!F70,0)</f>
        <v>5.4663823363639431E-2</v>
      </c>
      <c r="G32" s="69">
        <f>IFERROR(HistoricalFS!G66/HistoricalFS!G70,0)</f>
        <v>3.4040132732184453E-2</v>
      </c>
      <c r="H32" s="69">
        <f>IFERROR(HistoricalFS!H66/HistoricalFS!H70,0)</f>
        <v>6.6822750613369744E-2</v>
      </c>
      <c r="I32" s="69">
        <f>IFERROR(HistoricalFS!I66/HistoricalFS!I70,0)</f>
        <v>4.8967471903718099E-2</v>
      </c>
      <c r="J32" s="69">
        <f>IFERROR(HistoricalFS!J66/HistoricalFS!J70,0)</f>
        <v>5.9076419000781144E-2</v>
      </c>
      <c r="K32" s="69">
        <f>IFERROR(HistoricalFS!K66/HistoricalFS!K70,0)</f>
        <v>5.1997777226049272E-2</v>
      </c>
      <c r="L32" s="69">
        <f>IFERROR(HistoricalFS!L66/HistoricalFS!L70,0)</f>
        <v>7.1733415908819612E-2</v>
      </c>
    </row>
    <row r="33" spans="1:12" x14ac:dyDescent="0.3">
      <c r="A33" s="65"/>
      <c r="B33" s="68" t="s">
        <v>41</v>
      </c>
      <c r="C33" s="69">
        <f>IFERROR(HistoricalFS!C67/HistoricalFS!C70,0)</f>
        <v>3.6022622279883398E-2</v>
      </c>
      <c r="D33" s="69">
        <f>IFERROR(HistoricalFS!D67/HistoricalFS!D70,0)</f>
        <v>3.3405525079717634E-2</v>
      </c>
      <c r="E33" s="69">
        <f>IFERROR(HistoricalFS!E67/HistoricalFS!E70,0)</f>
        <v>4.0184144415412952E-2</v>
      </c>
      <c r="F33" s="69">
        <f>IFERROR(HistoricalFS!F67/HistoricalFS!F70,0)</f>
        <v>7.2035747794242821E-2</v>
      </c>
      <c r="G33" s="69">
        <f>IFERROR(HistoricalFS!G67/HistoricalFS!G70,0)</f>
        <v>3.5082043182906621E-2</v>
      </c>
      <c r="H33" s="69">
        <f>IFERROR(HistoricalFS!H67/HistoricalFS!H70,0)</f>
        <v>3.8547104158471672E-2</v>
      </c>
      <c r="I33" s="69">
        <f>IFERROR(HistoricalFS!I67/HistoricalFS!I70,0)</f>
        <v>3.8036153843104763E-2</v>
      </c>
      <c r="J33" s="69">
        <f>IFERROR(HistoricalFS!J67/HistoricalFS!J70,0)</f>
        <v>4.4016722727924881E-2</v>
      </c>
      <c r="K33" s="69">
        <f>IFERROR(HistoricalFS!K67/HistoricalFS!K70,0)</f>
        <v>3.5191865383277884E-2</v>
      </c>
      <c r="L33" s="69">
        <f>IFERROR(HistoricalFS!L67/HistoricalFS!L70,0)</f>
        <v>4.5269649008438669E-2</v>
      </c>
    </row>
    <row r="34" spans="1:12" x14ac:dyDescent="0.3">
      <c r="A34" s="65"/>
      <c r="B34" s="70" t="s">
        <v>146</v>
      </c>
      <c r="C34" s="71">
        <f>IFERROR(HistoricalFS!C68/HistoricalFS!C70,0)</f>
        <v>0.33833737962722005</v>
      </c>
      <c r="D34" s="71">
        <f>IFERROR(HistoricalFS!D68/HistoricalFS!D70,0)</f>
        <v>0.28943323451290254</v>
      </c>
      <c r="E34" s="71">
        <f>IFERROR(HistoricalFS!E68/HistoricalFS!E70,0)</f>
        <v>0.43927616443225509</v>
      </c>
      <c r="F34" s="71">
        <f>IFERROR(HistoricalFS!F68/HistoricalFS!F70,0)</f>
        <v>0.40715851883709597</v>
      </c>
      <c r="G34" s="71">
        <f>IFERROR(HistoricalFS!G68/HistoricalFS!G70,0)</f>
        <v>0.3012688524183636</v>
      </c>
      <c r="H34" s="71">
        <f>IFERROR(HistoricalFS!H68/HistoricalFS!H70,0)</f>
        <v>0.24035047618597616</v>
      </c>
      <c r="I34" s="71">
        <f>IFERROR(HistoricalFS!I68/HistoricalFS!I70,0)</f>
        <v>0.1758556575636997</v>
      </c>
      <c r="J34" s="71">
        <f>IFERROR(HistoricalFS!J68/HistoricalFS!J70,0)</f>
        <v>0.16407551481372254</v>
      </c>
      <c r="K34" s="71">
        <f>IFERROR(HistoricalFS!K68/HistoricalFS!K70,0)</f>
        <v>0.13579624396895151</v>
      </c>
      <c r="L34" s="71">
        <f>IFERROR(HistoricalFS!L68/HistoricalFS!L70,0)</f>
        <v>0.16508328836174016</v>
      </c>
    </row>
    <row r="35" spans="1:12" x14ac:dyDescent="0.3">
      <c r="A35" s="65"/>
      <c r="B35" s="70" t="s">
        <v>147</v>
      </c>
      <c r="C35" s="71">
        <f>IFERROR(HistoricalFS!C70/HistoricalFS!C70,0)</f>
        <v>1</v>
      </c>
      <c r="D35" s="71">
        <f>IFERROR(HistoricalFS!D70/HistoricalFS!D70,0)</f>
        <v>1</v>
      </c>
      <c r="E35" s="71">
        <f>IFERROR(HistoricalFS!E70/HistoricalFS!E70,0)</f>
        <v>1</v>
      </c>
      <c r="F35" s="71">
        <f>IFERROR(HistoricalFS!F70/HistoricalFS!F70,0)</f>
        <v>1</v>
      </c>
      <c r="G35" s="71">
        <f>IFERROR(HistoricalFS!G70/HistoricalFS!G70,0)</f>
        <v>1</v>
      </c>
      <c r="H35" s="71">
        <f>IFERROR(HistoricalFS!H70/HistoricalFS!H70,0)</f>
        <v>1</v>
      </c>
      <c r="I35" s="71">
        <f>IFERROR(HistoricalFS!I70/HistoricalFS!I70,0)</f>
        <v>1</v>
      </c>
      <c r="J35" s="71">
        <f>IFERROR(HistoricalFS!J70/HistoricalFS!J70,0)</f>
        <v>1</v>
      </c>
      <c r="K35" s="71">
        <f>IFERROR(HistoricalFS!K70/HistoricalFS!K70,0)</f>
        <v>1</v>
      </c>
      <c r="L35" s="71">
        <f>IFERROR(HistoricalFS!L70/HistoricalFS!L70,0)</f>
        <v>1</v>
      </c>
    </row>
    <row r="37" spans="1:12" x14ac:dyDescent="0.3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</row>
    <row r="38" spans="1:12" x14ac:dyDescent="0.3">
      <c r="A38" s="65"/>
      <c r="B38" s="68"/>
      <c r="C38" s="69"/>
      <c r="D38" s="69"/>
      <c r="E38" s="69"/>
      <c r="F38" s="69"/>
      <c r="G38" s="69"/>
      <c r="H38" s="69"/>
      <c r="I38" s="69"/>
      <c r="J38" s="69"/>
      <c r="K38" s="69"/>
      <c r="L38" s="69"/>
    </row>
    <row r="39" spans="1:12" x14ac:dyDescent="0.3">
      <c r="A39" s="65"/>
      <c r="B39" s="68"/>
      <c r="C39" s="69"/>
      <c r="D39" s="69"/>
      <c r="E39" s="69"/>
      <c r="F39" s="69"/>
      <c r="G39" s="69"/>
      <c r="H39" s="69"/>
      <c r="I39" s="69"/>
      <c r="J39" s="69"/>
      <c r="K39" s="69"/>
      <c r="L39" s="69"/>
    </row>
    <row r="40" spans="1:12" x14ac:dyDescent="0.3">
      <c r="A40" s="65"/>
      <c r="B40" s="68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 spans="1:12" x14ac:dyDescent="0.3">
      <c r="A41" s="65"/>
      <c r="B41" s="70"/>
      <c r="C41" s="71"/>
      <c r="D41" s="71"/>
      <c r="E41" s="71"/>
      <c r="F41" s="71"/>
      <c r="G41" s="71"/>
      <c r="H41" s="71"/>
      <c r="I41" s="71"/>
      <c r="J41" s="71"/>
      <c r="K41" s="71"/>
      <c r="L41" s="71"/>
    </row>
    <row r="43" spans="1:12" x14ac:dyDescent="0.3">
      <c r="A43" s="65"/>
      <c r="B43" s="72"/>
      <c r="C43" s="65"/>
      <c r="D43" s="65"/>
      <c r="E43" s="65"/>
      <c r="F43" s="65"/>
      <c r="G43" s="65"/>
      <c r="H43" s="65"/>
      <c r="I43" s="65"/>
      <c r="J43" s="65"/>
      <c r="K43" s="65"/>
      <c r="L43" s="65"/>
    </row>
  </sheetData>
  <mergeCells count="1">
    <mergeCell ref="B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6C43-E45F-439F-86B3-CB5998E596A3}">
  <sheetPr>
    <tabColor theme="9" tint="0.79998168889431442"/>
  </sheetPr>
  <dimension ref="A1:K93"/>
  <sheetViews>
    <sheetView zoomScaleNormal="100" zoomScalePageLayoutView="120" workbookViewId="0">
      <pane xSplit="1" ySplit="1" topLeftCell="B46" activePane="bottomRight" state="frozen"/>
      <selection activeCell="C4" sqref="C4"/>
      <selection pane="topRight" activeCell="C4" sqref="C4"/>
      <selection pane="bottomLeft" activeCell="C4" sqref="C4"/>
      <selection pane="bottomRight" activeCell="B9" sqref="B9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57</v>
      </c>
      <c r="E1" s="41" t="str">
        <f>IF(B2&lt;&gt;B3, "A NEW VERSION OF THE WORKSHEET IS AVAILABLE", "")</f>
        <v/>
      </c>
      <c r="F1" s="41"/>
      <c r="G1" s="41"/>
      <c r="H1" s="41"/>
      <c r="I1" s="41"/>
      <c r="J1" s="41"/>
      <c r="K1" s="41"/>
    </row>
    <row r="2" spans="1:11" x14ac:dyDescent="0.3">
      <c r="A2" s="1" t="s">
        <v>1</v>
      </c>
      <c r="B2" s="2">
        <v>2.1</v>
      </c>
      <c r="E2" s="42" t="s">
        <v>2</v>
      </c>
      <c r="F2" s="42"/>
      <c r="G2" s="42"/>
      <c r="H2" s="42"/>
      <c r="I2" s="42"/>
      <c r="J2" s="42"/>
      <c r="K2" s="42"/>
    </row>
    <row r="3" spans="1:11" x14ac:dyDescent="0.3">
      <c r="A3" s="1" t="s">
        <v>3</v>
      </c>
      <c r="B3" s="2">
        <v>2.1</v>
      </c>
    </row>
    <row r="4" spans="1:11" x14ac:dyDescent="0.3">
      <c r="A4" s="1"/>
    </row>
    <row r="5" spans="1:11" x14ac:dyDescent="0.3">
      <c r="A5" s="1" t="s">
        <v>4</v>
      </c>
    </row>
    <row r="6" spans="1:11" x14ac:dyDescent="0.3">
      <c r="A6" s="2" t="s">
        <v>5</v>
      </c>
      <c r="B6" s="2">
        <f>IF(B9&gt;0, B9/B8, 0)</f>
        <v>135.30373151686328</v>
      </c>
    </row>
    <row r="7" spans="1:11" x14ac:dyDescent="0.3">
      <c r="A7" s="2" t="s">
        <v>6</v>
      </c>
      <c r="B7" s="3">
        <v>1</v>
      </c>
    </row>
    <row r="8" spans="1:11" x14ac:dyDescent="0.3">
      <c r="A8" s="2" t="s">
        <v>7</v>
      </c>
      <c r="B8" s="3">
        <v>3009.5</v>
      </c>
    </row>
    <row r="9" spans="1:11" x14ac:dyDescent="0.3">
      <c r="A9" s="2" t="s">
        <v>8</v>
      </c>
      <c r="B9" s="3">
        <v>407196.58</v>
      </c>
    </row>
    <row r="15" spans="1:11" x14ac:dyDescent="0.3">
      <c r="A15" s="1" t="s">
        <v>9</v>
      </c>
    </row>
    <row r="16" spans="1:11" s="6" customFormat="1" x14ac:dyDescent="0.3">
      <c r="A16" s="4" t="s">
        <v>10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7" customFormat="1" x14ac:dyDescent="0.3">
      <c r="A17" s="7" t="s">
        <v>11</v>
      </c>
      <c r="B17" s="3">
        <v>36532.86</v>
      </c>
      <c r="C17" s="3">
        <v>35923.919999999998</v>
      </c>
      <c r="D17" s="3">
        <v>40378.660000000003</v>
      </c>
      <c r="E17" s="3">
        <v>43402.559999999998</v>
      </c>
      <c r="F17" s="3">
        <v>39537.129999999997</v>
      </c>
      <c r="G17" s="3">
        <v>69420.179999999993</v>
      </c>
      <c r="H17" s="3">
        <v>127539.5</v>
      </c>
      <c r="I17" s="3">
        <v>96420.98</v>
      </c>
      <c r="J17" s="3">
        <v>97894.75</v>
      </c>
      <c r="K17" s="3">
        <v>100468.61</v>
      </c>
    </row>
    <row r="18" spans="1:11" s="7" customFormat="1" x14ac:dyDescent="0.3">
      <c r="A18" s="2" t="s">
        <v>12</v>
      </c>
      <c r="B18" s="3">
        <v>30945.16</v>
      </c>
      <c r="C18" s="3">
        <v>30771.08</v>
      </c>
      <c r="D18" s="3">
        <v>33821.4</v>
      </c>
      <c r="E18" s="3">
        <v>34350.199999999997</v>
      </c>
      <c r="F18" s="3">
        <v>29791.08</v>
      </c>
      <c r="G18" s="3">
        <v>57651.32</v>
      </c>
      <c r="H18" s="3">
        <v>93814.06</v>
      </c>
      <c r="I18" s="3">
        <v>51507.72</v>
      </c>
      <c r="J18" s="3">
        <v>49524.73</v>
      </c>
      <c r="K18" s="3">
        <v>56933.41</v>
      </c>
    </row>
    <row r="19" spans="1:11" s="7" customFormat="1" x14ac:dyDescent="0.3">
      <c r="A19" s="2" t="s">
        <v>13</v>
      </c>
      <c r="B19" s="3">
        <v>-36.380000000000003</v>
      </c>
      <c r="C19" s="3">
        <v>772.74</v>
      </c>
      <c r="D19" s="3">
        <v>499.99</v>
      </c>
      <c r="E19" s="3">
        <v>-310.13</v>
      </c>
      <c r="F19" s="3">
        <v>-456.74</v>
      </c>
      <c r="G19" s="3">
        <v>3933.82</v>
      </c>
      <c r="H19" s="3">
        <v>327.16000000000003</v>
      </c>
      <c r="I19" s="3">
        <v>1116.49</v>
      </c>
      <c r="J19" s="3">
        <v>-1844.54</v>
      </c>
      <c r="K19" s="3">
        <v>2824.59</v>
      </c>
    </row>
    <row r="20" spans="1:11" s="7" customFormat="1" x14ac:dyDescent="0.3">
      <c r="A20" s="2" t="s">
        <v>14</v>
      </c>
      <c r="B20" s="3">
        <v>7.42</v>
      </c>
      <c r="C20" s="3">
        <v>2.91</v>
      </c>
      <c r="D20" s="3">
        <v>5.74</v>
      </c>
      <c r="E20" s="3">
        <v>12.22</v>
      </c>
      <c r="F20" s="3">
        <v>13.4</v>
      </c>
      <c r="G20" s="3">
        <v>58.98</v>
      </c>
      <c r="H20" s="3">
        <v>18.420000000000002</v>
      </c>
      <c r="I20" s="3">
        <v>26.46</v>
      </c>
      <c r="J20" s="3">
        <v>2037.48</v>
      </c>
      <c r="K20" s="3">
        <v>2142.6999999999998</v>
      </c>
    </row>
    <row r="21" spans="1:11" s="7" customFormat="1" x14ac:dyDescent="0.3">
      <c r="A21" s="2" t="s">
        <v>15</v>
      </c>
      <c r="B21" s="3">
        <v>1910.37</v>
      </c>
      <c r="C21" s="3">
        <v>2204.89</v>
      </c>
      <c r="D21" s="3">
        <v>2551.2800000000002</v>
      </c>
      <c r="E21" s="3">
        <v>3115.25</v>
      </c>
      <c r="F21" s="3">
        <v>4357.88</v>
      </c>
      <c r="G21" s="3">
        <v>7793.57</v>
      </c>
      <c r="H21" s="3">
        <v>14377.83</v>
      </c>
      <c r="I21" s="3">
        <v>22793.040000000001</v>
      </c>
      <c r="J21" s="3">
        <v>16964.509999999998</v>
      </c>
      <c r="K21" s="3">
        <v>15610.12</v>
      </c>
    </row>
    <row r="22" spans="1:11" s="7" customFormat="1" x14ac:dyDescent="0.3">
      <c r="A22" s="2" t="s">
        <v>16</v>
      </c>
      <c r="B22" s="3">
        <v>511.48</v>
      </c>
      <c r="C22" s="3">
        <v>568.97</v>
      </c>
      <c r="D22" s="3">
        <v>657.18</v>
      </c>
      <c r="E22" s="3">
        <v>683.28</v>
      </c>
      <c r="F22" s="3">
        <v>830.36</v>
      </c>
      <c r="G22" s="3">
        <v>1182.0999999999999</v>
      </c>
      <c r="H22" s="3">
        <v>1879.07</v>
      </c>
      <c r="I22" s="3">
        <v>2332.96</v>
      </c>
      <c r="J22" s="3">
        <v>3121.84</v>
      </c>
      <c r="K22" s="3">
        <v>3661.56</v>
      </c>
    </row>
    <row r="23" spans="1:11" s="7" customFormat="1" x14ac:dyDescent="0.3">
      <c r="A23" s="2" t="s">
        <v>17</v>
      </c>
      <c r="B23" s="3">
        <v>1004.69</v>
      </c>
      <c r="C23" s="3">
        <v>928.28</v>
      </c>
      <c r="D23" s="3">
        <v>1230.6199999999999</v>
      </c>
      <c r="E23" s="3">
        <v>1954.57</v>
      </c>
      <c r="F23" s="3">
        <v>1306.48</v>
      </c>
      <c r="G23" s="3">
        <v>2412.38</v>
      </c>
      <c r="H23" s="3">
        <v>8135.29</v>
      </c>
      <c r="I23" s="3">
        <v>8272.86</v>
      </c>
      <c r="J23" s="3">
        <v>9245.98</v>
      </c>
      <c r="K23" s="3">
        <v>9817.24</v>
      </c>
    </row>
    <row r="24" spans="1:11" s="7" customFormat="1" x14ac:dyDescent="0.3">
      <c r="A24" s="2" t="s">
        <v>18</v>
      </c>
      <c r="B24" s="3">
        <v>215.13</v>
      </c>
      <c r="C24" s="3">
        <v>182.82</v>
      </c>
      <c r="D24" s="3">
        <v>643.09</v>
      </c>
      <c r="E24" s="3">
        <v>682.52</v>
      </c>
      <c r="F24" s="3">
        <v>275.54000000000002</v>
      </c>
      <c r="G24" s="3">
        <v>542.04999999999995</v>
      </c>
      <c r="H24" s="3">
        <v>824.3</v>
      </c>
      <c r="I24" s="3">
        <v>1227.83</v>
      </c>
      <c r="J24" s="3">
        <v>903.64</v>
      </c>
      <c r="K24" s="3">
        <v>1137.3900000000001</v>
      </c>
    </row>
    <row r="25" spans="1:11" s="7" customFormat="1" x14ac:dyDescent="0.3">
      <c r="A25" s="7" t="s">
        <v>19</v>
      </c>
      <c r="B25" s="3">
        <v>749.41</v>
      </c>
      <c r="C25" s="3">
        <v>363.21</v>
      </c>
      <c r="D25" s="3">
        <v>504.22</v>
      </c>
      <c r="E25" s="3">
        <v>872.32</v>
      </c>
      <c r="F25" s="3">
        <v>494.31</v>
      </c>
      <c r="G25" s="3">
        <v>1012.11</v>
      </c>
      <c r="H25" s="3">
        <v>834.23</v>
      </c>
      <c r="I25" s="3">
        <v>1146.3900000000001</v>
      </c>
      <c r="J25" s="3">
        <v>6403.1</v>
      </c>
      <c r="K25" s="3">
        <v>11688.34</v>
      </c>
    </row>
    <row r="26" spans="1:11" s="7" customFormat="1" x14ac:dyDescent="0.3">
      <c r="A26" s="7" t="s">
        <v>20</v>
      </c>
      <c r="B26" s="3">
        <v>315.45999999999998</v>
      </c>
      <c r="C26" s="3">
        <v>663.92</v>
      </c>
      <c r="D26" s="3">
        <v>389.77</v>
      </c>
      <c r="E26" s="3">
        <v>472.06</v>
      </c>
      <c r="F26" s="3">
        <v>537.14</v>
      </c>
      <c r="G26" s="3">
        <v>1247.78</v>
      </c>
      <c r="H26" s="3">
        <v>2436.14</v>
      </c>
      <c r="I26" s="3">
        <v>3042.15</v>
      </c>
      <c r="J26" s="3">
        <v>4211.33</v>
      </c>
      <c r="K26" s="3">
        <v>6135.34</v>
      </c>
    </row>
    <row r="27" spans="1:11" s="7" customFormat="1" x14ac:dyDescent="0.3">
      <c r="A27" s="7" t="s">
        <v>21</v>
      </c>
      <c r="B27" s="3">
        <v>1257.31</v>
      </c>
      <c r="C27" s="3">
        <v>1250.17</v>
      </c>
      <c r="D27" s="3">
        <v>1625.07</v>
      </c>
      <c r="E27" s="3">
        <v>1572.32</v>
      </c>
      <c r="F27" s="3">
        <v>1376.85</v>
      </c>
      <c r="G27" s="3">
        <v>2525.88</v>
      </c>
      <c r="H27" s="3">
        <v>3968.9</v>
      </c>
      <c r="I27" s="3">
        <v>4554.7</v>
      </c>
      <c r="J27" s="3">
        <v>5978.02</v>
      </c>
      <c r="K27" s="3">
        <v>6019.12</v>
      </c>
    </row>
    <row r="28" spans="1:11" s="7" customFormat="1" x14ac:dyDescent="0.3">
      <c r="A28" s="7" t="s">
        <v>22</v>
      </c>
      <c r="B28" s="3">
        <v>1078.8699999999999</v>
      </c>
      <c r="C28" s="3">
        <v>486.83</v>
      </c>
      <c r="D28" s="3">
        <v>458.72</v>
      </c>
      <c r="E28" s="3">
        <v>1122.33</v>
      </c>
      <c r="F28" s="3">
        <v>1085.97</v>
      </c>
      <c r="G28" s="3">
        <v>952.05</v>
      </c>
      <c r="H28" s="3">
        <v>3246.88</v>
      </c>
      <c r="I28" s="3">
        <v>4926.1400000000003</v>
      </c>
      <c r="J28" s="3">
        <v>10465.780000000001</v>
      </c>
      <c r="K28" s="3">
        <v>13524.66</v>
      </c>
    </row>
    <row r="29" spans="1:11" s="7" customFormat="1" x14ac:dyDescent="0.3">
      <c r="A29" s="7" t="s">
        <v>23</v>
      </c>
      <c r="B29" s="3">
        <v>271.14999999999998</v>
      </c>
      <c r="C29" s="3">
        <v>112.11</v>
      </c>
      <c r="D29" s="3">
        <v>144.54</v>
      </c>
      <c r="E29" s="3">
        <v>324.33</v>
      </c>
      <c r="F29" s="3">
        <v>339.65</v>
      </c>
      <c r="G29" s="3">
        <v>476.68</v>
      </c>
      <c r="H29" s="3">
        <v>1037.94</v>
      </c>
      <c r="I29" s="3">
        <v>1631.51</v>
      </c>
      <c r="J29" s="3">
        <v>2968.52</v>
      </c>
      <c r="K29" s="3">
        <v>3831.15</v>
      </c>
    </row>
    <row r="30" spans="1:11" s="7" customFormat="1" x14ac:dyDescent="0.3">
      <c r="A30" s="7" t="s">
        <v>24</v>
      </c>
      <c r="B30" s="3">
        <v>987.74</v>
      </c>
      <c r="C30" s="3">
        <v>757.25</v>
      </c>
      <c r="D30" s="3">
        <v>717.14</v>
      </c>
      <c r="E30" s="3">
        <v>1138.17</v>
      </c>
      <c r="F30" s="3">
        <v>922.64</v>
      </c>
      <c r="G30" s="3">
        <v>776.56</v>
      </c>
      <c r="H30" s="3">
        <v>2463.98</v>
      </c>
      <c r="I30" s="3">
        <v>3239.55</v>
      </c>
      <c r="J30" s="3">
        <v>7111.96</v>
      </c>
      <c r="K30" s="3">
        <v>9339.4699999999993</v>
      </c>
    </row>
    <row r="31" spans="1:11" s="7" customFormat="1" x14ac:dyDescent="0.3">
      <c r="A31" s="7" t="s">
        <v>25</v>
      </c>
      <c r="B31" s="3">
        <v>43.99</v>
      </c>
      <c r="C31" s="3">
        <v>43.99</v>
      </c>
      <c r="D31" s="3">
        <v>43.99</v>
      </c>
      <c r="E31" s="3">
        <v>109.98</v>
      </c>
      <c r="F31" s="3">
        <v>109.98</v>
      </c>
      <c r="G31" s="3">
        <v>109.98</v>
      </c>
      <c r="H31" s="3">
        <v>136.80000000000001</v>
      </c>
      <c r="I31" s="3">
        <v>148.19999999999999</v>
      </c>
      <c r="J31" s="3">
        <v>150.05000000000001</v>
      </c>
      <c r="K31" s="3">
        <v>168.01</v>
      </c>
    </row>
    <row r="32" spans="1:11" s="7" customFormat="1" x14ac:dyDescent="0.3"/>
    <row r="33" spans="1:11" x14ac:dyDescent="0.3">
      <c r="A33" s="7"/>
    </row>
    <row r="34" spans="1:11" x14ac:dyDescent="0.3">
      <c r="A34" s="7"/>
    </row>
    <row r="35" spans="1:11" x14ac:dyDescent="0.3">
      <c r="A35" s="7"/>
    </row>
    <row r="36" spans="1:11" x14ac:dyDescent="0.3">
      <c r="A36" s="7"/>
    </row>
    <row r="37" spans="1:11" x14ac:dyDescent="0.3">
      <c r="A37" s="7"/>
    </row>
    <row r="38" spans="1:11" x14ac:dyDescent="0.3">
      <c r="A38" s="7"/>
    </row>
    <row r="39" spans="1:11" x14ac:dyDescent="0.3">
      <c r="A39" s="7"/>
    </row>
    <row r="40" spans="1:11" x14ac:dyDescent="0.3">
      <c r="A40" s="1" t="s">
        <v>26</v>
      </c>
    </row>
    <row r="41" spans="1:11" s="6" customFormat="1" x14ac:dyDescent="0.3">
      <c r="A41" s="4" t="s">
        <v>10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s="7" customFormat="1" x14ac:dyDescent="0.3">
      <c r="A42" s="7" t="s">
        <v>11</v>
      </c>
      <c r="B42" s="3">
        <v>29180.02</v>
      </c>
      <c r="C42" s="3">
        <v>25472.400000000001</v>
      </c>
      <c r="D42" s="3">
        <v>22608.07</v>
      </c>
      <c r="E42" s="3">
        <v>22848.42</v>
      </c>
      <c r="F42" s="3">
        <v>26965.86</v>
      </c>
      <c r="G42" s="3">
        <v>21961.200000000001</v>
      </c>
      <c r="H42" s="3">
        <v>21248.51</v>
      </c>
      <c r="I42" s="3">
        <v>24819.59</v>
      </c>
      <c r="J42" s="3">
        <v>32439.31</v>
      </c>
      <c r="K42" s="3">
        <v>32923.980000000003</v>
      </c>
    </row>
    <row r="43" spans="1:11" s="7" customFormat="1" x14ac:dyDescent="0.3">
      <c r="A43" s="7" t="s">
        <v>27</v>
      </c>
      <c r="B43" s="3">
        <v>25984.58</v>
      </c>
      <c r="C43" s="3">
        <v>21766.59</v>
      </c>
      <c r="D43" s="3">
        <v>18842.27</v>
      </c>
      <c r="E43" s="3">
        <v>19778.009999999998</v>
      </c>
      <c r="F43" s="3">
        <v>23255.85</v>
      </c>
      <c r="G43" s="3">
        <v>18650.91</v>
      </c>
      <c r="H43" s="3">
        <v>17941.95</v>
      </c>
      <c r="I43" s="3">
        <v>21178.07</v>
      </c>
      <c r="J43" s="3">
        <v>28708.560000000001</v>
      </c>
      <c r="K43" s="3">
        <v>27904.69</v>
      </c>
    </row>
    <row r="44" spans="1:11" s="7" customFormat="1" x14ac:dyDescent="0.3">
      <c r="A44" s="7" t="s">
        <v>19</v>
      </c>
      <c r="B44" s="3">
        <v>-175.65</v>
      </c>
      <c r="C44" s="3">
        <v>590.55999999999995</v>
      </c>
      <c r="D44" s="3">
        <v>582.57000000000005</v>
      </c>
      <c r="E44" s="3">
        <v>648.46</v>
      </c>
      <c r="F44" s="3">
        <v>4581.51</v>
      </c>
      <c r="G44" s="3">
        <v>475.42</v>
      </c>
      <c r="H44" s="3">
        <v>4178.84</v>
      </c>
      <c r="I44" s="3">
        <v>6287.94</v>
      </c>
      <c r="J44" s="3">
        <v>747.8</v>
      </c>
      <c r="K44" s="3">
        <v>-2021.74</v>
      </c>
    </row>
    <row r="45" spans="1:11" s="7" customFormat="1" x14ac:dyDescent="0.3">
      <c r="A45" s="7" t="s">
        <v>20</v>
      </c>
      <c r="B45" s="3">
        <v>811.47</v>
      </c>
      <c r="C45" s="3">
        <v>934.08</v>
      </c>
      <c r="D45" s="3">
        <v>1035.19</v>
      </c>
      <c r="E45" s="3">
        <v>1005.65</v>
      </c>
      <c r="F45" s="3">
        <v>1236.4100000000001</v>
      </c>
      <c r="G45" s="3">
        <v>1283.95</v>
      </c>
      <c r="H45" s="3">
        <v>1376.55</v>
      </c>
      <c r="I45" s="3">
        <v>1371.59</v>
      </c>
      <c r="J45" s="3">
        <v>2103.25</v>
      </c>
      <c r="K45" s="3">
        <v>1926</v>
      </c>
    </row>
    <row r="46" spans="1:11" s="7" customFormat="1" x14ac:dyDescent="0.3">
      <c r="A46" s="7" t="s">
        <v>21</v>
      </c>
      <c r="B46" s="3">
        <v>1512.62</v>
      </c>
      <c r="C46" s="3">
        <v>1130.49</v>
      </c>
      <c r="D46" s="3">
        <v>909.83</v>
      </c>
      <c r="E46" s="3">
        <v>2141.3200000000002</v>
      </c>
      <c r="F46" s="3">
        <v>1796.38</v>
      </c>
      <c r="G46" s="3">
        <v>1035.48</v>
      </c>
      <c r="H46" s="3">
        <v>1711.22</v>
      </c>
      <c r="I46" s="3">
        <v>1625.94</v>
      </c>
      <c r="J46" s="3">
        <v>1646.48</v>
      </c>
      <c r="K46" s="3">
        <v>2420.9299999999998</v>
      </c>
    </row>
    <row r="47" spans="1:11" s="7" customFormat="1" x14ac:dyDescent="0.3">
      <c r="A47" s="7" t="s">
        <v>22</v>
      </c>
      <c r="B47" s="3">
        <v>695.7</v>
      </c>
      <c r="C47" s="3">
        <v>2231.8000000000002</v>
      </c>
      <c r="D47" s="3">
        <v>2403.35</v>
      </c>
      <c r="E47" s="3">
        <v>571.9</v>
      </c>
      <c r="F47" s="3">
        <v>5258.73</v>
      </c>
      <c r="G47" s="3">
        <v>1466.28</v>
      </c>
      <c r="H47" s="3">
        <v>4397.63</v>
      </c>
      <c r="I47" s="3">
        <v>6931.93</v>
      </c>
      <c r="J47" s="3">
        <v>728.82</v>
      </c>
      <c r="K47" s="3">
        <v>-1349.38</v>
      </c>
    </row>
    <row r="48" spans="1:11" s="7" customFormat="1" x14ac:dyDescent="0.3">
      <c r="A48" s="7" t="s">
        <v>23</v>
      </c>
      <c r="B48" s="3">
        <v>430.12</v>
      </c>
      <c r="C48" s="3">
        <v>583.6</v>
      </c>
      <c r="D48" s="3">
        <v>512.37</v>
      </c>
      <c r="E48" s="3">
        <v>588.44000000000005</v>
      </c>
      <c r="F48" s="3">
        <v>1284.1099999999999</v>
      </c>
      <c r="G48" s="3">
        <v>571.25</v>
      </c>
      <c r="H48" s="3">
        <v>1001.07</v>
      </c>
      <c r="I48" s="3">
        <v>1405.11</v>
      </c>
      <c r="J48" s="3">
        <v>853.72</v>
      </c>
      <c r="K48" s="3">
        <v>219.04</v>
      </c>
    </row>
    <row r="49" spans="1:11" s="7" customFormat="1" x14ac:dyDescent="0.3">
      <c r="A49" s="7" t="s">
        <v>24</v>
      </c>
      <c r="B49" s="3">
        <v>450.58</v>
      </c>
      <c r="C49" s="3">
        <v>1454.5</v>
      </c>
      <c r="D49" s="3">
        <v>1741.75</v>
      </c>
      <c r="E49" s="3">
        <v>57.83</v>
      </c>
      <c r="F49" s="3">
        <v>3844.91</v>
      </c>
      <c r="G49" s="3">
        <v>885.23</v>
      </c>
      <c r="H49" s="3">
        <v>3198.75</v>
      </c>
      <c r="I49" s="3">
        <v>5627.02</v>
      </c>
      <c r="J49" s="3">
        <v>-104.93</v>
      </c>
      <c r="K49" s="3">
        <v>-1160.23</v>
      </c>
    </row>
    <row r="50" spans="1:11" x14ac:dyDescent="0.3">
      <c r="A50" s="7" t="s">
        <v>28</v>
      </c>
      <c r="B50" s="3">
        <v>3195.44</v>
      </c>
      <c r="C50" s="3">
        <v>3705.81</v>
      </c>
      <c r="D50" s="3">
        <v>3765.8</v>
      </c>
      <c r="E50" s="3">
        <v>3070.41</v>
      </c>
      <c r="F50" s="3">
        <v>3710.01</v>
      </c>
      <c r="G50" s="3">
        <v>3310.29</v>
      </c>
      <c r="H50" s="3">
        <v>3306.56</v>
      </c>
      <c r="I50" s="3">
        <v>3641.52</v>
      </c>
      <c r="J50" s="3">
        <v>3730.75</v>
      </c>
      <c r="K50" s="3">
        <v>5019.29</v>
      </c>
    </row>
    <row r="51" spans="1:11" x14ac:dyDescent="0.3">
      <c r="A51" s="7"/>
    </row>
    <row r="52" spans="1:11" x14ac:dyDescent="0.3">
      <c r="A52" s="7"/>
    </row>
    <row r="53" spans="1:11" x14ac:dyDescent="0.3">
      <c r="A53" s="7"/>
    </row>
    <row r="54" spans="1:11" x14ac:dyDescent="0.3">
      <c r="A54" s="7"/>
    </row>
    <row r="55" spans="1:11" x14ac:dyDescent="0.3">
      <c r="A55" s="1" t="s">
        <v>29</v>
      </c>
    </row>
    <row r="56" spans="1:11" s="6" customFormat="1" x14ac:dyDescent="0.3">
      <c r="A56" s="4" t="s">
        <v>10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">
      <c r="A57" s="7" t="s">
        <v>30</v>
      </c>
      <c r="B57" s="3">
        <v>109.98</v>
      </c>
      <c r="C57" s="3">
        <v>109.98</v>
      </c>
      <c r="D57" s="3">
        <v>109.98</v>
      </c>
      <c r="E57" s="3">
        <v>109.98</v>
      </c>
      <c r="F57" s="3">
        <v>109.98</v>
      </c>
      <c r="G57" s="3">
        <v>109.98</v>
      </c>
      <c r="H57" s="3">
        <v>114</v>
      </c>
      <c r="I57" s="3">
        <v>114</v>
      </c>
      <c r="J57" s="3">
        <v>115.42</v>
      </c>
      <c r="K57" s="3">
        <v>129.24</v>
      </c>
    </row>
    <row r="58" spans="1:11" x14ac:dyDescent="0.3">
      <c r="A58" s="7" t="s">
        <v>31</v>
      </c>
      <c r="B58" s="3">
        <v>14025.99</v>
      </c>
      <c r="C58" s="3">
        <v>14979.19</v>
      </c>
      <c r="D58" s="3">
        <v>14645.96</v>
      </c>
      <c r="E58" s="3">
        <v>16836.59</v>
      </c>
      <c r="F58" s="3">
        <v>17048.59</v>
      </c>
      <c r="G58" s="3">
        <v>22146.53</v>
      </c>
      <c r="H58" s="3">
        <v>32937.01</v>
      </c>
      <c r="I58" s="3">
        <v>38962.089999999997</v>
      </c>
      <c r="J58" s="3">
        <v>50198.55</v>
      </c>
      <c r="K58" s="3">
        <v>80796.710000000006</v>
      </c>
    </row>
    <row r="59" spans="1:11" x14ac:dyDescent="0.3">
      <c r="A59" s="7" t="s">
        <v>32</v>
      </c>
      <c r="B59" s="3">
        <v>20845.72</v>
      </c>
      <c r="C59" s="3">
        <v>17636.689999999999</v>
      </c>
      <c r="D59" s="3">
        <v>11243.2</v>
      </c>
      <c r="E59" s="3">
        <v>12419.3</v>
      </c>
      <c r="F59" s="3">
        <v>16227.06</v>
      </c>
      <c r="G59" s="3">
        <v>41604.03</v>
      </c>
      <c r="H59" s="3">
        <v>53200.46</v>
      </c>
      <c r="I59" s="3">
        <v>65310.15</v>
      </c>
      <c r="J59" s="3">
        <v>91472.6</v>
      </c>
      <c r="K59" s="3">
        <v>106621.79</v>
      </c>
    </row>
    <row r="60" spans="1:11" x14ac:dyDescent="0.3">
      <c r="A60" s="7" t="s">
        <v>33</v>
      </c>
      <c r="B60" s="3">
        <v>12629.78</v>
      </c>
      <c r="C60" s="3">
        <v>23679.48</v>
      </c>
      <c r="D60" s="3">
        <v>16537.04</v>
      </c>
      <c r="E60" s="3">
        <v>17509.189999999999</v>
      </c>
      <c r="F60" s="3">
        <v>18231.09</v>
      </c>
      <c r="G60" s="3">
        <v>37725.82</v>
      </c>
      <c r="H60" s="3">
        <v>55027.01</v>
      </c>
      <c r="I60" s="3">
        <v>56200</v>
      </c>
      <c r="J60" s="3">
        <v>56056.31</v>
      </c>
      <c r="K60" s="3">
        <v>73320.639999999999</v>
      </c>
    </row>
    <row r="61" spans="1:11" s="1" customFormat="1" x14ac:dyDescent="0.3">
      <c r="A61" s="1" t="s">
        <v>34</v>
      </c>
      <c r="B61" s="3">
        <v>47611.47</v>
      </c>
      <c r="C61" s="3">
        <v>56405.34</v>
      </c>
      <c r="D61" s="3">
        <v>42536.18</v>
      </c>
      <c r="E61" s="3">
        <v>46875.06</v>
      </c>
      <c r="F61" s="3">
        <v>51616.72</v>
      </c>
      <c r="G61" s="3">
        <v>101586.36</v>
      </c>
      <c r="H61" s="3">
        <v>141278.48000000001</v>
      </c>
      <c r="I61" s="3">
        <v>160586.23999999999</v>
      </c>
      <c r="J61" s="3">
        <v>197842.88</v>
      </c>
      <c r="K61" s="3">
        <v>260868.38</v>
      </c>
    </row>
    <row r="62" spans="1:11" x14ac:dyDescent="0.3">
      <c r="A62" s="7" t="s">
        <v>35</v>
      </c>
      <c r="B62" s="3">
        <v>13667.98</v>
      </c>
      <c r="C62" s="3">
        <v>10555.19</v>
      </c>
      <c r="D62" s="3">
        <v>9020.11</v>
      </c>
      <c r="E62" s="3">
        <v>10476.459999999999</v>
      </c>
      <c r="F62" s="3">
        <v>10837.61</v>
      </c>
      <c r="G62" s="3">
        <v>30122.77</v>
      </c>
      <c r="H62" s="3">
        <v>56881.13</v>
      </c>
      <c r="I62" s="3">
        <v>65978.3</v>
      </c>
      <c r="J62" s="3">
        <v>77260.14</v>
      </c>
      <c r="K62" s="3">
        <v>115173.81</v>
      </c>
    </row>
    <row r="63" spans="1:11" x14ac:dyDescent="0.3">
      <c r="A63" s="7" t="s">
        <v>36</v>
      </c>
      <c r="B63" s="3">
        <v>7731.49</v>
      </c>
      <c r="C63" s="3">
        <v>5525.87</v>
      </c>
      <c r="D63" s="3">
        <v>5764.92</v>
      </c>
      <c r="E63" s="3">
        <v>7346.73</v>
      </c>
      <c r="F63" s="3">
        <v>8825.4599999999991</v>
      </c>
      <c r="G63" s="3">
        <v>23544.42</v>
      </c>
      <c r="H63" s="3">
        <v>24025.21</v>
      </c>
      <c r="I63" s="3">
        <v>35179.5</v>
      </c>
      <c r="J63" s="3">
        <v>51515.81</v>
      </c>
      <c r="K63" s="3">
        <v>51753.42</v>
      </c>
    </row>
    <row r="64" spans="1:11" x14ac:dyDescent="0.3">
      <c r="A64" s="7" t="s">
        <v>37</v>
      </c>
      <c r="B64" s="3">
        <v>1041.75</v>
      </c>
      <c r="C64" s="3">
        <v>1460.72</v>
      </c>
      <c r="D64" s="3">
        <v>1511.35</v>
      </c>
      <c r="E64" s="3">
        <v>1952.49</v>
      </c>
      <c r="F64" s="3">
        <v>5502.94</v>
      </c>
      <c r="G64" s="3">
        <v>4292.21</v>
      </c>
      <c r="H64" s="3">
        <v>6310.17</v>
      </c>
      <c r="I64" s="3">
        <v>8700.69</v>
      </c>
      <c r="J64" s="3">
        <v>9886.61</v>
      </c>
      <c r="K64" s="3">
        <v>9428.3700000000008</v>
      </c>
    </row>
    <row r="65" spans="1:11" x14ac:dyDescent="0.3">
      <c r="A65" s="7" t="s">
        <v>38</v>
      </c>
      <c r="B65" s="3">
        <v>25170.25</v>
      </c>
      <c r="C65" s="3">
        <v>38863.56</v>
      </c>
      <c r="D65" s="3">
        <v>26239.8</v>
      </c>
      <c r="E65" s="3">
        <v>27099.38</v>
      </c>
      <c r="F65" s="3">
        <v>26450.71</v>
      </c>
      <c r="G65" s="3">
        <v>43626.96</v>
      </c>
      <c r="H65" s="3">
        <v>54061.97</v>
      </c>
      <c r="I65" s="3">
        <v>50727.75</v>
      </c>
      <c r="J65" s="3">
        <v>59180.32</v>
      </c>
      <c r="K65" s="3">
        <v>84512.78</v>
      </c>
    </row>
    <row r="66" spans="1:11" s="1" customFormat="1" x14ac:dyDescent="0.3">
      <c r="A66" s="1" t="s">
        <v>34</v>
      </c>
      <c r="B66" s="3">
        <v>47611.47</v>
      </c>
      <c r="C66" s="3">
        <v>56405.34</v>
      </c>
      <c r="D66" s="3">
        <v>42536.18</v>
      </c>
      <c r="E66" s="3">
        <v>46875.06</v>
      </c>
      <c r="F66" s="3">
        <v>51616.72</v>
      </c>
      <c r="G66" s="3">
        <v>101586.36</v>
      </c>
      <c r="H66" s="3">
        <v>141278.48000000001</v>
      </c>
      <c r="I66" s="3">
        <v>160586.23999999999</v>
      </c>
      <c r="J66" s="3">
        <v>197842.88</v>
      </c>
      <c r="K66" s="3">
        <v>260868.38</v>
      </c>
    </row>
    <row r="67" spans="1:11" s="7" customFormat="1" x14ac:dyDescent="0.3">
      <c r="A67" s="7" t="s">
        <v>39</v>
      </c>
      <c r="B67" s="3">
        <v>12741.75</v>
      </c>
      <c r="C67" s="3">
        <v>12098.77</v>
      </c>
      <c r="D67" s="3">
        <v>14307.03</v>
      </c>
      <c r="E67" s="3">
        <v>13146.53</v>
      </c>
      <c r="F67" s="3">
        <v>11982.65</v>
      </c>
      <c r="G67" s="3">
        <v>13712.19</v>
      </c>
      <c r="H67" s="3">
        <v>12552.88</v>
      </c>
      <c r="I67" s="3">
        <v>9792.93</v>
      </c>
      <c r="J67" s="3">
        <v>9616.4699999999993</v>
      </c>
      <c r="K67" s="3">
        <v>12542.61</v>
      </c>
    </row>
    <row r="68" spans="1:11" x14ac:dyDescent="0.3">
      <c r="A68" s="7" t="s">
        <v>40</v>
      </c>
      <c r="B68" s="3">
        <v>1651.9</v>
      </c>
      <c r="C68" s="3">
        <v>2342.56</v>
      </c>
      <c r="D68" s="3">
        <v>2668.82</v>
      </c>
      <c r="E68" s="3">
        <v>2562.37</v>
      </c>
      <c r="F68" s="3">
        <v>1757.04</v>
      </c>
      <c r="G68" s="3">
        <v>6788.28</v>
      </c>
      <c r="H68" s="3">
        <v>6918.05</v>
      </c>
      <c r="I68" s="3">
        <v>9486.86</v>
      </c>
      <c r="J68" s="3">
        <v>10287.39</v>
      </c>
      <c r="K68" s="3">
        <v>18712.98</v>
      </c>
    </row>
    <row r="69" spans="1:11" x14ac:dyDescent="0.3">
      <c r="A69" s="2" t="s">
        <v>41</v>
      </c>
      <c r="B69" s="3">
        <v>1715.09</v>
      </c>
      <c r="C69" s="3">
        <v>1884.25</v>
      </c>
      <c r="D69" s="3">
        <v>1709.28</v>
      </c>
      <c r="E69" s="3">
        <v>3376.68</v>
      </c>
      <c r="F69" s="3">
        <v>1810.82</v>
      </c>
      <c r="G69" s="3">
        <v>3915.86</v>
      </c>
      <c r="H69" s="3">
        <v>5373.69</v>
      </c>
      <c r="I69" s="3">
        <v>7068.48</v>
      </c>
      <c r="J69" s="3">
        <v>6962.46</v>
      </c>
      <c r="K69" s="3">
        <v>11809.42</v>
      </c>
    </row>
    <row r="70" spans="1:11" x14ac:dyDescent="0.3">
      <c r="A70" s="2" t="s">
        <v>42</v>
      </c>
      <c r="B70" s="3">
        <v>1099810083</v>
      </c>
      <c r="C70" s="3">
        <v>1099810083</v>
      </c>
      <c r="D70" s="3">
        <v>1099810083</v>
      </c>
      <c r="E70" s="3">
        <v>1099810083</v>
      </c>
      <c r="F70" s="3">
        <v>1099810083</v>
      </c>
      <c r="G70" s="3">
        <v>1099810083</v>
      </c>
      <c r="H70" s="3">
        <v>1140001121</v>
      </c>
      <c r="I70" s="3">
        <v>1140001121</v>
      </c>
      <c r="J70" s="3">
        <v>1154180729</v>
      </c>
      <c r="K70" s="3">
        <v>1292682416</v>
      </c>
    </row>
    <row r="71" spans="1:11" x14ac:dyDescent="0.3">
      <c r="A71" s="2" t="s">
        <v>43</v>
      </c>
    </row>
    <row r="72" spans="1:11" x14ac:dyDescent="0.3">
      <c r="A72" s="2" t="s">
        <v>44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</row>
    <row r="74" spans="1:11" x14ac:dyDescent="0.3">
      <c r="A74" s="7"/>
    </row>
    <row r="75" spans="1:11" x14ac:dyDescent="0.3">
      <c r="A75" s="7"/>
    </row>
    <row r="76" spans="1:11" x14ac:dyDescent="0.3">
      <c r="A76" s="7"/>
    </row>
    <row r="77" spans="1:11" x14ac:dyDescent="0.3">
      <c r="A77" s="7"/>
    </row>
    <row r="78" spans="1:11" x14ac:dyDescent="0.3">
      <c r="A78" s="7"/>
    </row>
    <row r="79" spans="1:11" x14ac:dyDescent="0.3">
      <c r="A79" s="7"/>
    </row>
    <row r="80" spans="1:11" x14ac:dyDescent="0.3">
      <c r="A80" s="1" t="s">
        <v>45</v>
      </c>
    </row>
    <row r="81" spans="1:11" s="6" customFormat="1" x14ac:dyDescent="0.3">
      <c r="A81" s="4" t="s">
        <v>10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" customFormat="1" x14ac:dyDescent="0.3">
      <c r="A82" s="7" t="s">
        <v>46</v>
      </c>
      <c r="B82" s="3">
        <v>774.07</v>
      </c>
      <c r="C82" s="3">
        <v>2942.39</v>
      </c>
      <c r="D82" s="3">
        <v>3235.92</v>
      </c>
      <c r="E82" s="3">
        <v>2453.56</v>
      </c>
      <c r="F82" s="3">
        <v>4043.31</v>
      </c>
      <c r="G82" s="3">
        <v>1385.28</v>
      </c>
      <c r="H82" s="3">
        <v>17626.46</v>
      </c>
      <c r="I82" s="3">
        <v>10312.19</v>
      </c>
      <c r="J82" s="3">
        <v>4513.1000000000004</v>
      </c>
      <c r="K82" s="3">
        <v>2356.91</v>
      </c>
    </row>
    <row r="83" spans="1:11" s="7" customFormat="1" x14ac:dyDescent="0.3">
      <c r="A83" s="7" t="s">
        <v>47</v>
      </c>
      <c r="B83" s="3">
        <v>-1459.77</v>
      </c>
      <c r="C83" s="3">
        <v>-7648.85</v>
      </c>
      <c r="D83" s="3">
        <v>2486.91</v>
      </c>
      <c r="E83" s="3">
        <v>-1081.8499999999999</v>
      </c>
      <c r="F83" s="3">
        <v>-8610.66</v>
      </c>
      <c r="G83" s="3">
        <v>-17040.62</v>
      </c>
      <c r="H83" s="3">
        <v>-15458.84</v>
      </c>
      <c r="I83" s="3">
        <v>-18766.650000000001</v>
      </c>
      <c r="J83" s="3">
        <v>-26417.33</v>
      </c>
      <c r="K83" s="3">
        <v>-27680.49</v>
      </c>
    </row>
    <row r="84" spans="1:11" s="7" customFormat="1" x14ac:dyDescent="0.3">
      <c r="A84" s="7" t="s">
        <v>48</v>
      </c>
      <c r="B84" s="3">
        <v>715.82</v>
      </c>
      <c r="C84" s="3">
        <v>5119.57</v>
      </c>
      <c r="D84" s="3">
        <v>-6158.41</v>
      </c>
      <c r="E84" s="3">
        <v>-220.9</v>
      </c>
      <c r="F84" s="3">
        <v>3108.81</v>
      </c>
      <c r="G84" s="3">
        <v>15901.42</v>
      </c>
      <c r="H84" s="3">
        <v>-1197.52</v>
      </c>
      <c r="I84" s="3">
        <v>8878.68</v>
      </c>
      <c r="J84" s="3">
        <v>22655.34</v>
      </c>
      <c r="K84" s="3">
        <v>28484.47</v>
      </c>
    </row>
    <row r="85" spans="1:11" s="1" customFormat="1" x14ac:dyDescent="0.3">
      <c r="A85" s="7" t="s">
        <v>49</v>
      </c>
      <c r="B85" s="3">
        <v>30.12</v>
      </c>
      <c r="C85" s="3">
        <v>413.11</v>
      </c>
      <c r="D85" s="3">
        <v>-435.58</v>
      </c>
      <c r="E85" s="3">
        <v>1150.81</v>
      </c>
      <c r="F85" s="3">
        <v>-1458.54</v>
      </c>
      <c r="G85" s="3">
        <v>246.08</v>
      </c>
      <c r="H85" s="3">
        <v>970.1</v>
      </c>
      <c r="I85" s="3">
        <v>424.22</v>
      </c>
      <c r="J85" s="3">
        <v>751.11</v>
      </c>
      <c r="K85" s="3">
        <v>3160.89</v>
      </c>
    </row>
    <row r="86" spans="1:11" x14ac:dyDescent="0.3">
      <c r="A86" s="7"/>
    </row>
    <row r="87" spans="1:11" x14ac:dyDescent="0.3">
      <c r="A87" s="7"/>
    </row>
    <row r="88" spans="1:11" x14ac:dyDescent="0.3">
      <c r="A88" s="7"/>
    </row>
    <row r="89" spans="1:11" x14ac:dyDescent="0.3">
      <c r="A89" s="7"/>
    </row>
    <row r="90" spans="1:11" s="1" customFormat="1" x14ac:dyDescent="0.3">
      <c r="A90" s="1" t="s">
        <v>50</v>
      </c>
      <c r="B90" s="3">
        <v>70.319999999999993</v>
      </c>
      <c r="C90" s="3">
        <v>101.31</v>
      </c>
      <c r="D90" s="3">
        <v>142.27000000000001</v>
      </c>
      <c r="E90" s="3">
        <v>133.4</v>
      </c>
      <c r="F90" s="3">
        <v>999.68</v>
      </c>
      <c r="G90" s="3">
        <v>1953.27</v>
      </c>
      <c r="H90" s="3">
        <v>1697.04</v>
      </c>
      <c r="I90" s="3">
        <v>3099.54</v>
      </c>
      <c r="J90" s="3">
        <v>2245.13</v>
      </c>
      <c r="K90" s="3">
        <v>1758.8</v>
      </c>
    </row>
    <row r="92" spans="1:11" s="1" customFormat="1" x14ac:dyDescent="0.3">
      <c r="A92" s="1" t="s">
        <v>51</v>
      </c>
    </row>
    <row r="93" spans="1:11" x14ac:dyDescent="0.3">
      <c r="A93" s="2" t="s">
        <v>52</v>
      </c>
      <c r="B93" s="8">
        <v>123.18</v>
      </c>
      <c r="C93" s="8">
        <v>123.18</v>
      </c>
      <c r="D93" s="8">
        <v>123.18</v>
      </c>
      <c r="E93" s="8">
        <v>123.18</v>
      </c>
      <c r="F93" s="8">
        <v>123.18</v>
      </c>
      <c r="G93" s="8">
        <v>123.18</v>
      </c>
      <c r="H93" s="8">
        <v>127.68</v>
      </c>
      <c r="I93" s="8">
        <v>127.68</v>
      </c>
      <c r="J93" s="8">
        <v>129.27000000000001</v>
      </c>
      <c r="K93" s="8">
        <v>129.16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12BF335F-8BB6-4316-8A94-7B83F498C14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HistoricalFS</vt:lpstr>
      <vt:lpstr>Ratio Analysis</vt:lpstr>
      <vt:lpstr>Common Size Statement</vt:lpstr>
      <vt:lpstr>Data Sheet</vt:lpstr>
      <vt:lpstr>'Data Sheet'!UPDATE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shah</dc:creator>
  <cp:lastModifiedBy>Rishab shah</cp:lastModifiedBy>
  <dcterms:created xsi:type="dcterms:W3CDTF">2026-07-31T11:18:33Z</dcterms:created>
  <dcterms:modified xsi:type="dcterms:W3CDTF">2026-08-21T18:52:22Z</dcterms:modified>
</cp:coreProperties>
</file>